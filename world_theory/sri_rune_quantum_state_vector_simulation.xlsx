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4a7c500ae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MODEL" sheetId="1" r:id="R732edb7a84ad46d7"/>
    <x:sheet xmlns:r="http://schemas.openxmlformats.org/officeDocument/2006/relationships" name="Sri_Basis_9_Triangles" sheetId="2" r:id="R58c4ec2bb6944a8c"/>
    <x:sheet xmlns:r="http://schemas.openxmlformats.org/officeDocument/2006/relationships" name="Quantum_State_Grid" sheetId="3" r:id="Rf0379e30dc5a40c7"/>
    <x:sheet xmlns:r="http://schemas.openxmlformats.org/officeDocument/2006/relationships" name="Element_Rune_Lens" sheetId="4" r:id="R1fab10ebdf83404e"/>
    <x:sheet xmlns:r="http://schemas.openxmlformats.org/officeDocument/2006/relationships" name="Sri_Projection" sheetId="5" r:id="R769897430deb4829"/>
    <x:sheet xmlns:r="http://schemas.openxmlformats.org/officeDocument/2006/relationships" name="Pair_Transition_Sim" sheetId="6" r:id="Ra94da8b84aa34d82"/>
    <x:sheet xmlns:r="http://schemas.openxmlformats.org/officeDocument/2006/relationships" name="Live_Test" sheetId="7" r:id="Re454478245974f92"/>
    <x:sheet xmlns:r="http://schemas.openxmlformats.org/officeDocument/2006/relationships" name="Method_Notes" sheetId="8" r:id="R7bc794065326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9FAFB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BEAFE"/>
      </x:patternFill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  <x:fill>
      <x:patternFill patternType="solid">
        <x:fgColor rgb="FEF3C7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e4df8d1484cae" /><Relationship Type="http://schemas.openxmlformats.org/officeDocument/2006/relationships/theme" Target="/xl/theme/theme1.xml" Id="R4307c6bcc5744f92" /><Relationship Type="http://schemas.openxmlformats.org/officeDocument/2006/relationships/sharedStrings" Target="/xl/sharedStrings.xml" Id="R6b7e94a9d8064b76" /><Relationship Type="http://schemas.openxmlformats.org/officeDocument/2006/relationships/worksheet" Target="/xl/worksheets/sheet1.xml" Id="R732edb7a84ad46d7" /><Relationship Type="http://schemas.openxmlformats.org/officeDocument/2006/relationships/worksheet" Target="/xl/worksheets/sheet2.xml" Id="R58c4ec2bb6944a8c" /><Relationship Type="http://schemas.openxmlformats.org/officeDocument/2006/relationships/worksheet" Target="/xl/worksheets/sheet3.xml" Id="Rf0379e30dc5a40c7" /><Relationship Type="http://schemas.openxmlformats.org/officeDocument/2006/relationships/worksheet" Target="/xl/worksheets/sheet4.xml" Id="R1fab10ebdf83404e" /><Relationship Type="http://schemas.openxmlformats.org/officeDocument/2006/relationships/worksheet" Target="/xl/worksheets/sheet5.xml" Id="R769897430deb4829" /><Relationship Type="http://schemas.openxmlformats.org/officeDocument/2006/relationships/worksheet" Target="/xl/worksheets/sheet6.xml" Id="Ra94da8b84aa34d82" /><Relationship Type="http://schemas.openxmlformats.org/officeDocument/2006/relationships/worksheet" Target="/xl/worksheets/sheet7.xml" Id="Re454478245974f92" /><Relationship Type="http://schemas.openxmlformats.org/officeDocument/2006/relationships/worksheet" Target="/xl/worksheets/sheet8.xml" Id="R7bc79406532647c2" /></Relationships>
</file>

<file path=xl/tables/table1.xml><?xml version="1.0" encoding="utf-8"?>
<x:table xmlns:x="http://schemas.openxmlformats.org/spreadsheetml/2006/main" id="1" name="SriBasisTable" displayName="SriBasisTable" ref="A1:M10" headerRowCount="1">
  <x:tableColumns count="13">
    <x:tableColumn id="1" name="Triangle"/>
    <x:tableColumn id="2" name="Rune"/>
    <x:tableColumn id="3" name="Direction"/>
    <x:tableColumn id="4" name="Role"/>
    <x:tableColumn id="5" name="Activation"/>
    <x:tableColumn id="6" name="Reception"/>
    <x:tableColumn id="7" name="Structure"/>
    <x:tableColumn id="8" name="Flow"/>
    <x:tableColumn id="9" name="Gate"/>
    <x:tableColumn id="10" name="Memory"/>
    <x:tableColumn id="11" name="Shadow"/>
    <x:tableColumn id="12" name="Coherence"/>
    <x:tableColumn id="13" name="Meaning"/>
  </x:tableColumns>
  <x:tableStyleInfo name="TableStyleMedium2" showRowStripes="1"/>
</x:table>
</file>

<file path=xl/tables/table2.xml><?xml version="1.0" encoding="utf-8"?>
<x:table xmlns:x="http://schemas.openxmlformats.org/spreadsheetml/2006/main" id="3" name="QuantumStateGridTable" displayName="QuantumStateGridTable" ref="A1:Q93" headerRowCount="1">
  <x:tableColumns count="17">
    <x:tableColumn id="1" name="StateID"/>
    <x:tableColumn id="2" name="n"/>
    <x:tableColumn id="3" name="l"/>
    <x:tableColumn id="4" name="orbital"/>
    <x:tableColumn id="5" name="m_l"/>
    <x:tableColumn id="6" name="spin"/>
    <x:tableColumn id="7" name="Degeneracy"/>
    <x:tableColumn id="8" name="RadialLayer"/>
    <x:tableColumn id="9" name="AngularComplexity"/>
    <x:tableColumn id="10" name="DirectionX"/>
    <x:tableColumn id="11" name="SpinZ"/>
    <x:tableColumn id="12" name="GateNeed"/>
    <x:tableColumn id="13" name="CoherenceScore"/>
    <x:tableColumn id="14" name="RuneRole"/>
    <x:tableColumn id="15" name="RunePacket"/>
    <x:tableColumn id="16" name="Verdict"/>
    <x:tableColumn id="17" name="Meaning"/>
  </x:tableColumns>
  <x:tableStyleInfo name="TableStyleMedium2" showRowStripes="1"/>
</x:table>
</file>

<file path=xl/tables/table3.xml><?xml version="1.0" encoding="utf-8"?>
<x:table xmlns:x="http://schemas.openxmlformats.org/spreadsheetml/2006/main" id="2" name="ElementRuneLensTable" displayName="ElementRuneLensTable" ref="A1:T37" headerRowCount="1">
  <x:tableColumns count="20">
    <x:tableColumn id="1" name="Symbol"/>
    <x:tableColumn id="2" name="Z"/>
    <x:tableColumn id="3" name="Name"/>
    <x:tableColumn id="4" name="Period"/>
    <x:tableColumn id="5" name="Group"/>
    <x:tableColumn id="6" name="Category"/>
    <x:tableColumn id="7" name="OuterOrbital"/>
    <x:tableColumn id="8" name="Valence"/>
    <x:tableColumn id="9" name="Role"/>
    <x:tableColumn id="10" name="Rune"/>
    <x:tableColumn id="11" name="MatterDoor"/>
    <x:tableColumn id="12" name="Activation"/>
    <x:tableColumn id="13" name="Reception"/>
    <x:tableColumn id="14" name="Structure"/>
    <x:tableColumn id="15" name="Flow"/>
    <x:tableColumn id="16" name="Gate"/>
    <x:tableColumn id="17" name="Memory"/>
    <x:tableColumn id="18" name="Shadow"/>
    <x:tableColumn id="19" name="Coherence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riProjectionTable" displayName="SriProjectionTable" ref="A1:P37" headerRowCount="1">
  <x:tableColumns count="16">
    <x:tableColumn id="1" name="Symbol"/>
    <x:tableColumn id="2" name="Name"/>
    <x:tableColumn id="3" name="Role"/>
    <x:tableColumn id="4" name="Rune"/>
    <x:tableColumn id="5" name="DominantTriangle"/>
    <x:tableColumn id="6" name="DominantTriangleRole"/>
    <x:tableColumn id="7" name="DominantRune"/>
    <x:tableColumn id="8" name="T1 △"/>
    <x:tableColumn id="9" name="T2 ▽"/>
    <x:tableColumn id="10" name="T3 ᛏ"/>
    <x:tableColumn id="11" name="T4 ◉"/>
    <x:tableColumn id="12" name="T5 □"/>
    <x:tableColumn id="13" name="T6 ◎"/>
    <x:tableColumn id="14" name="T7 ∅"/>
    <x:tableColumn id="15" name="T8 ↺"/>
    <x:tableColumn id="16" name="T9 ✦"/>
  </x:tableColumns>
  <x:tableStyleInfo name="TableStyleMedium2" showRowStripes="1"/>
</x:table>
</file>

<file path=xl/tables/table5.xml><?xml version="1.0" encoding="utf-8"?>
<x:table xmlns:x="http://schemas.openxmlformats.org/spreadsheetml/2006/main" id="5" name="PairTransitionSimTable" displayName="PairTransitionSimTable" ref="A1:N667" headerRowCount="1">
  <x:tableColumns count="14">
    <x:tableColumn id="1" name="ElementA"/>
    <x:tableColumn id="2" name="ElementB"/>
    <x:tableColumn id="3" name="RoleA"/>
    <x:tableColumn id="4" name="RoleB"/>
    <x:tableColumn id="5" name="RuneA"/>
    <x:tableColumn id="6" name="RuneB"/>
    <x:tableColumn id="7" name="DonorReceiverScore"/>
    <x:tableColumn id="8" name="StructureMatch"/>
    <x:tableColumn id="9" name="ShadowPenalty"/>
    <x:tableColumn id="10" name="CoherenceSupport"/>
    <x:tableColumn id="11" name="GateScore"/>
    <x:tableColumn id="12" name="Verdict"/>
    <x:tableColumn id="13" name="RunePacket"/>
    <x:tableColumn id="14" name="TransitionRead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bfd7b464a343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07903eb7d2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ffed2b99b644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bf74b032ce43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2196dd89a4d9c" /></Relationships>
</file>

<file path=xl/worksheets/sheet1.xml><?xml version="1.0" encoding="utf-8"?>
<x:worksheet xmlns:x="http://schemas.openxmlformats.org/spreadsheetml/2006/main">
  <x:sheetFormatPr defaultRowHeight="15"/>
  <x:cols>
    <x:col min="1" max="1" width="58.54999923706055" hidden="0" customWidth="1"/>
    <x:col min="2" max="2" width="70" hidden="0" customWidth="1"/>
    <x:col min="3" max="3" width="58.54999923706055" hidden="0" customWidth="1"/>
    <x:col min="4" max="4" width="58.54999923706055" hidden="0" customWidth="1"/>
    <x:col min="5" max="5" width="58.54999923706055" hidden="0" customWidth="1"/>
    <x:col min="6" max="6" width="58.54999923706055" hidden="0" customWidth="1"/>
    <x:col min="7" max="7" width="58.54999923706055" hidden="0" customWidth="1"/>
    <x:col min="8" max="8" width="58.54999923706055" hidden="0" customWidth="1"/>
  </x:cols>
  <x:sheetData>
    <x:row r="1">
      <x:c r="A1" s="46" t="str">
        <x:v>Sri + Rune Chemistry / Quantum State Vector Simulation</x:v>
      </x:c>
      <x:c r="B1" s="46" t="str">
        <x:v>Sri + Rune Chemistry / Quantum State Vector Simulation</x:v>
      </x:c>
      <x:c r="C1" s="46" t="str">
        <x:v>Sri + Rune Chemistry / Quantum State Vector Simulation</x:v>
      </x:c>
      <x:c r="D1" s="46" t="str">
        <x:v>Sri + Rune Chemistry / Quantum State Vector Simulation</x:v>
      </x:c>
      <x:c r="E1" s="46" t="str">
        <x:v>Sri + Rune Chemistry / Quantum State Vector Simulation</x:v>
      </x:c>
      <x:c r="F1" s="46" t="str">
        <x:v>Sri + Rune Chemistry / Quantum State Vector Simulation</x:v>
      </x:c>
      <x:c r="G1" s="46" t="str">
        <x:v>Sri + Rune Chemistry / Quantum State Vector Simulation</x:v>
      </x:c>
      <x:c r="H1" s="46" t="str">
        <x:v>Sri + Rune Chemistry / Quantum State Vector Simulation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12" t="str">
        <x:v>Purpose</x:v>
      </x:c>
      <x:c r="B3" s="17" t="str">
        <x:v>Computational notebook-style workbook for reading elements and quantum states as transition roles, not as a replacement for chemistry or physics.</x:v>
      </x:c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12" t="str">
        <x:v>Core lens</x:v>
      </x:c>
      <x:c r="B4" s="17" t="str">
        <x:v>Element = visible 3D matter; role = hidden vector; reaction = Gate; compound = Bindu; memory = trace.</x:v>
      </x:c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12" t="str">
        <x:v>What it does</x:v>
      </x:c>
      <x:c r="B5" s="17" t="str">
        <x:v>Maps elements to 8 transition-vector dimensions, projects them onto 9 Sri triangle roles, and simulates pair transition readiness.</x:v>
      </x:c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12" t="str">
        <x:v>Quantum part</x:v>
      </x:c>
      <x:c r="B6" s="17" t="str">
        <x:v>Models quantum states as n/l/m/spin 'spot vectors': shell, angular complexity, direction, polarity, coherence and Gate need.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12" t="str">
        <x:v>Safety boundary</x:v>
      </x:c>
      <x:c r="B7" s="17" t="str">
        <x:v>This is a MODEL / educational lens. It does not claim to predict real reactions or prove quantum metaphysics.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12" t="str">
        <x:v>Use</x:v>
      </x:c>
      <x:c r="B8" s="17" t="str">
        <x:v>Open Live_Test. Change element symbols and quantum values. Read GateScore, rune packet, and verdict.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8" t="str">
        <x:v>Workbook sheets</x:v>
      </x:c>
      <x:c r="B10" s="48"/>
      <x:c r="C10" s="48"/>
      <x:c r="D10" s="48"/>
      <x:c r="E10" s="48"/>
      <x:c r="F10" s="48"/>
      <x:c r="G10" s="48"/>
      <x:c r="H10" s="48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9" t="str">
        <x:v>Sri_Basis_9_Triangles</x:v>
      </x:c>
      <x:c r="B11" s="17" t="str">
        <x:v>Nine triangle roles used as vector basis: activation, receiver, archer, memory, structure, gate, shadow, healer, bindu.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9" t="str">
        <x:v>Quantum_State_Grid</x:v>
      </x:c>
      <x:c r="B12" s="17" t="str">
        <x:v>Computed state grid for n/l/m/spin with rune role, coherence, Gate need and verdict.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9" t="str">
        <x:v>Element_Rune_Lens</x:v>
      </x:c>
      <x:c r="B13" s="17" t="str">
        <x:v>Element table with vector dimensions: activation, reception, structure, flow, Gate, memory, shadow, coherence.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9" t="str">
        <x:v>Sri_Projection</x:v>
      </x:c>
      <x:c r="B14" s="17" t="str">
        <x:v>Dot-product projection of each element onto the 9 Sri triangle basis states.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9" t="str">
        <x:v>Pair_Transition_Sim</x:v>
      </x:c>
      <x:c r="B15" s="17" t="str">
        <x:v>Pairwise transition simulation for element pairs with GateScore and verdict.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9" t="str">
        <x:v>Live_Test</x:v>
      </x:c>
      <x:c r="B16" s="17" t="str">
        <x:v>Editable mini-calculator for element pair + quantum state vector.</x:v>
      </x:c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9" t="str">
        <x:v>Method_Notes</x:v>
      </x:c>
      <x:c r="B17" s="17" t="str">
        <x:v>Formulas and boundaries for interpretation.</x:v>
      </x:c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860000133514404" hidden="0" customWidth="1"/>
    <x:col min="3" max="3" width="13.0600004196167" hidden="0" customWidth="1"/>
    <x:col min="4" max="4" width="11.569999694824219" hidden="0" customWidth="1"/>
    <x:col min="5" max="5" width="10.899999618530273" hidden="0" customWidth="1"/>
    <x:col min="6" max="6" width="10.899999618530273" hidden="0" customWidth="1"/>
    <x:col min="7" max="7" width="10.229999542236328" hidden="0" customWidth="1"/>
    <x:col min="8" max="8" width="6.590000152587891" hidden="0" customWidth="1"/>
    <x:col min="9" max="9" width="6.460000038146973" hidden="0" customWidth="1"/>
    <x:col min="10" max="10" width="9.6899995803833" hidden="0" customWidth="1"/>
    <x:col min="11" max="11" width="9.149999618530273" hidden="0" customWidth="1"/>
    <x:col min="12" max="12" width="11.3100004196167" hidden="0" customWidth="1"/>
    <x:col min="13" max="13" width="48" hidden="0" customWidth="1"/>
  </x:cols>
  <x:sheetData>
    <x:row r="1">
      <x:c r="A1" s="48" t="str">
        <x:v>Triangle</x:v>
      </x:c>
      <x:c r="B1" s="48" t="str">
        <x:v>Rune</x:v>
      </x:c>
      <x:c r="C1" s="48" t="str">
        <x:v>Direction</x:v>
      </x:c>
      <x:c r="D1" s="48" t="str">
        <x:v>Role</x:v>
      </x:c>
      <x:c r="E1" s="48" t="str">
        <x:v>Activation</x:v>
      </x:c>
      <x:c r="F1" s="48" t="str">
        <x:v>Reception</x:v>
      </x:c>
      <x:c r="G1" s="48" t="str">
        <x:v>Structure</x:v>
      </x:c>
      <x:c r="H1" s="48" t="str">
        <x:v>Flow</x:v>
      </x:c>
      <x:c r="I1" s="48" t="str">
        <x:v>Gate</x:v>
      </x:c>
      <x:c r="J1" s="48" t="str">
        <x:v>Memory</x:v>
      </x:c>
      <x:c r="K1" s="48" t="str">
        <x:v>Shadow</x:v>
      </x:c>
      <x:c r="L1" s="48" t="str">
        <x:v>Coherence</x:v>
      </x:c>
      <x:c r="M1" s="48" t="str">
        <x:v>Meaning</x:v>
      </x:c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 t="str">
        <x:v>T1</x:v>
      </x:c>
      <x:c r="B2" s="47" t="str">
        <x:v>△</x:v>
      </x:c>
      <x:c r="C2" s="47" t="str">
        <x:v>Up / Fire</x:v>
      </x:c>
      <x:c r="D2" s="47" t="str">
        <x:v>Activator</x:v>
      </x:c>
      <x:c r="E2" s="47" t="n">
        <x:v>1</x:v>
      </x:c>
      <x:c r="F2" s="47" t="n">
        <x:v>0.1</x:v>
      </x:c>
      <x:c r="G2" s="47" t="n">
        <x:v>0</x:v>
      </x:c>
      <x:c r="H2" s="47" t="n">
        <x:v>0.5</x:v>
      </x:c>
      <x:c r="I2" s="47" t="n">
        <x:v>0.2</x:v>
      </x:c>
      <x:c r="J2" s="47" t="n">
        <x:v>0</x:v>
      </x:c>
      <x:c r="K2" s="47" t="n">
        <x:v>0.2</x:v>
      </x:c>
      <x:c r="L2" s="47" t="n">
        <x:v>0.2</x:v>
      </x:c>
      <x:c r="M2" s="47" t="str">
        <x:v>Energy pressure; starts transition but can burn if Gate is weak.</x:v>
      </x:c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 t="str">
        <x:v>T2</x:v>
      </x:c>
      <x:c r="B3" s="47" t="str">
        <x:v>▽</x:v>
      </x:c>
      <x:c r="C3" s="47" t="str">
        <x:v>Down / Receiver</x:v>
      </x:c>
      <x:c r="D3" s="47" t="str">
        <x:v>Receiver</x:v>
      </x:c>
      <x:c r="E3" s="47" t="n">
        <x:v>0.1</x:v>
      </x:c>
      <x:c r="F3" s="47" t="n">
        <x:v>1</x:v>
      </x:c>
      <x:c r="G3" s="47" t="n">
        <x:v>0.1</x:v>
      </x:c>
      <x:c r="H3" s="47" t="n">
        <x:v>0.4</x:v>
      </x:c>
      <x:c r="I3" s="47" t="n">
        <x:v>0.3</x:v>
      </x:c>
      <x:c r="J3" s="47" t="n">
        <x:v>0</x:v>
      </x:c>
      <x:c r="K3" s="47" t="n">
        <x:v>0.2</x:v>
      </x:c>
      <x:c r="L3" s="47" t="n">
        <x:v>0.3</x:v>
      </x:c>
      <x:c r="M3" s="47" t="str">
        <x:v>Accepts, binds, cools, turns motion into contained form.</x:v>
      </x:c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7" t="str">
        <x:v>T3</x:v>
      </x:c>
      <x:c r="B4" s="47" t="str">
        <x:v>ᛏ</x:v>
      </x:c>
      <x:c r="C4" s="47" t="str">
        <x:v>Right / Direction</x:v>
      </x:c>
      <x:c r="D4" s="47" t="str">
        <x:v>Archer</x:v>
      </x:c>
      <x:c r="E4" s="47" t="n">
        <x:v>0.6</x:v>
      </x:c>
      <x:c r="F4" s="47" t="n">
        <x:v>0.2</x:v>
      </x:c>
      <x:c r="G4" s="47" t="n">
        <x:v>0.1</x:v>
      </x:c>
      <x:c r="H4" s="47" t="n">
        <x:v>1</x:v>
      </x:c>
      <x:c r="I4" s="47" t="n">
        <x:v>0.2</x:v>
      </x:c>
      <x:c r="J4" s="47" t="n">
        <x:v>0.1</x:v>
      </x:c>
      <x:c r="K4" s="47" t="n">
        <x:v>0.1</x:v>
      </x:c>
      <x:c r="L4" s="47" t="n">
        <x:v>0.3</x:v>
      </x:c>
      <x:c r="M4" s="47" t="str">
        <x:v>Gives vector direction; signal chooses route.</x:v>
      </x:c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7" t="str">
        <x:v>T4</x:v>
      </x:c>
      <x:c r="B5" s="47" t="str">
        <x:v>◉</x:v>
      </x:c>
      <x:c r="C5" s="47" t="str">
        <x:v>Left / Trace</x:v>
      </x:c>
      <x:c r="D5" s="47" t="str">
        <x:v>Memory</x:v>
      </x:c>
      <x:c r="E5" s="47" t="n">
        <x:v>0.1</x:v>
      </x:c>
      <x:c r="F5" s="47" t="n">
        <x:v>0.2</x:v>
      </x:c>
      <x:c r="G5" s="47" t="n">
        <x:v>0.7</x:v>
      </x:c>
      <x:c r="H5" s="47" t="n">
        <x:v>0.1</x:v>
      </x:c>
      <x:c r="I5" s="47" t="n">
        <x:v>0.4</x:v>
      </x:c>
      <x:c r="J5" s="47" t="n">
        <x:v>1</x:v>
      </x:c>
      <x:c r="K5" s="47" t="n">
        <x:v>0.1</x:v>
      </x:c>
      <x:c r="L5" s="47" t="n">
        <x:v>0.6</x:v>
      </x:c>
      <x:c r="M5" s="47" t="str">
        <x:v>Holds trace, structure history and consequence.</x:v>
      </x:c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7" t="str">
        <x:v>T5</x:v>
      </x:c>
      <x:c r="B6" s="47" t="str">
        <x:v>□</x:v>
      </x:c>
      <x:c r="C6" s="47" t="str">
        <x:v>Form / Lattice</x:v>
      </x:c>
      <x:c r="D6" s="47" t="str">
        <x:v>Engineer</x:v>
      </x:c>
      <x:c r="E6" s="47" t="n">
        <x:v>0.2</x:v>
      </x:c>
      <x:c r="F6" s="47" t="n">
        <x:v>0.3</x:v>
      </x:c>
      <x:c r="G6" s="47" t="n">
        <x:v>1</x:v>
      </x:c>
      <x:c r="H6" s="47" t="n">
        <x:v>0.2</x:v>
      </x:c>
      <x:c r="I6" s="47" t="n">
        <x:v>0.5</x:v>
      </x:c>
      <x:c r="J6" s="47" t="n">
        <x:v>0.5</x:v>
      </x:c>
      <x:c r="K6" s="47" t="n">
        <x:v>0.1</x:v>
      </x:c>
      <x:c r="L6" s="47" t="n">
        <x:v>0.7</x:v>
      </x:c>
      <x:c r="M6" s="47" t="str">
        <x:v>Builds stable form, schema, lattice, molecule grammar.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7" t="str">
        <x:v>T6</x:v>
      </x:c>
      <x:c r="B7" s="47" t="str">
        <x:v>◎</x:v>
      </x:c>
      <x:c r="C7" s="47" t="str">
        <x:v>Boundary</x:v>
      </x:c>
      <x:c r="D7" s="47" t="str">
        <x:v>Guardian Gate</x:v>
      </x:c>
      <x:c r="E7" s="47" t="n">
        <x:v>0.1</x:v>
      </x:c>
      <x:c r="F7" s="47" t="n">
        <x:v>0.3</x:v>
      </x:c>
      <x:c r="G7" s="47" t="n">
        <x:v>0.4</x:v>
      </x:c>
      <x:c r="H7" s="47" t="n">
        <x:v>0.2</x:v>
      </x:c>
      <x:c r="I7" s="47" t="n">
        <x:v>1</x:v>
      </x:c>
      <x:c r="J7" s="47" t="n">
        <x:v>0.5</x:v>
      </x:c>
      <x:c r="K7" s="47" t="n">
        <x:v>0.2</x:v>
      </x:c>
      <x:c r="L7" s="47" t="n">
        <x:v>0.8</x:v>
      </x:c>
      <x:c r="M7" s="47" t="str">
        <x:v>Checks if transition has permission and stable conditions.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7" t="str">
        <x:v>T7</x:v>
      </x:c>
      <x:c r="B8" s="47" t="str">
        <x:v>∅</x:v>
      </x:c>
      <x:c r="C8" s="47" t="str">
        <x:v>Blind Zone</x:v>
      </x:c>
      <x:c r="D8" s="47" t="str">
        <x:v>Shadow</x:v>
      </x:c>
      <x:c r="E8" s="47" t="n">
        <x:v>0.3</x:v>
      </x:c>
      <x:c r="F8" s="47" t="n">
        <x:v>0.1</x:v>
      </x:c>
      <x:c r="G8" s="47" t="n">
        <x:v>0.2</x:v>
      </x:c>
      <x:c r="H8" s="47" t="n">
        <x:v>0.4</x:v>
      </x:c>
      <x:c r="I8" s="47" t="n">
        <x:v>0.2</x:v>
      </x:c>
      <x:c r="J8" s="47" t="n">
        <x:v>0.4</x:v>
      </x:c>
      <x:c r="K8" s="47" t="n">
        <x:v>1</x:v>
      </x:c>
      <x:c r="L8" s="47" t="n">
        <x:v>0.1</x:v>
      </x:c>
      <x:c r="M8" s="47" t="str">
        <x:v>Unknown, instability, untested path; requires HOLD or scan.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 t="str">
        <x:v>T8</x:v>
      </x:c>
      <x:c r="B9" s="47" t="str">
        <x:v>↺</x:v>
      </x:c>
      <x:c r="C9" s="47" t="str">
        <x:v>Repair Flow</x:v>
      </x:c>
      <x:c r="D9" s="47" t="str">
        <x:v>Healer</x:v>
      </x:c>
      <x:c r="E9" s="47" t="n">
        <x:v>0.2</x:v>
      </x:c>
      <x:c r="F9" s="47" t="n">
        <x:v>0.4</x:v>
      </x:c>
      <x:c r="G9" s="47" t="n">
        <x:v>0.3</x:v>
      </x:c>
      <x:c r="H9" s="47" t="n">
        <x:v>0.8</x:v>
      </x:c>
      <x:c r="I9" s="47" t="n">
        <x:v>0.6</x:v>
      </x:c>
      <x:c r="J9" s="47" t="n">
        <x:v>0.6</x:v>
      </x:c>
      <x:c r="K9" s="47" t="n">
        <x:v>0.2</x:v>
      </x:c>
      <x:c r="L9" s="47" t="n">
        <x:v>0.8</x:v>
      </x:c>
      <x:c r="M9" s="47" t="str">
        <x:v>Rollback, repair, reversible route, restorative flow.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 t="str">
        <x:v>T9</x:v>
      </x:c>
      <x:c r="B10" s="47" t="str">
        <x:v>✦</x:v>
      </x:c>
      <x:c r="C10" s="47" t="str">
        <x:v>Center</x:v>
      </x:c>
      <x:c r="D10" s="47" t="str">
        <x:v>Bindu</x:v>
      </x:c>
      <x:c r="E10" s="47" t="n">
        <x:v>0.4</x:v>
      </x:c>
      <x:c r="F10" s="47" t="n">
        <x:v>0.4</x:v>
      </x:c>
      <x:c r="G10" s="47" t="n">
        <x:v>0.7</x:v>
      </x:c>
      <x:c r="H10" s="47" t="n">
        <x:v>0.4</x:v>
      </x:c>
      <x:c r="I10" s="47" t="n">
        <x:v>1</x:v>
      </x:c>
      <x:c r="J10" s="47" t="n">
        <x:v>0.8</x:v>
      </x:c>
      <x:c r="K10" s="47" t="n">
        <x:v>0</x:v>
      </x:c>
      <x:c r="L10" s="47" t="n">
        <x:v>1</x:v>
      </x:c>
      <x:c r="M10" s="47" t="str">
        <x:v>Coherent verdict: the transition has stabilized enough to become state.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conditionalFormatting sqref="E2:E10">
    <x:cfRule type="dataBar" priority="1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{B1F03FB2-F473-ED5B-2234-462900219554}</x14:id>
        </x:ext>
      </x:extLst>
    </x:cfRule>
  </x:conditionalFormatting>
  <x:conditionalFormatting sqref="F2:F10">
    <x:cfRule type="dataBar" priority="2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{1F025867-4A1E-EE14-D5EA-0976A3052E96}</x14:id>
        </x:ext>
      </x:extLst>
    </x:cfRule>
  </x:conditionalFormatting>
  <x:conditionalFormatting sqref="G2:G10">
    <x:cfRule type="dataBar" priority="3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{172A69BC-E695-DA72-0183-2DD84E1D065C}</x14:id>
        </x:ext>
      </x:extLst>
    </x:cfRule>
  </x:conditionalFormatting>
  <x:conditionalFormatting sqref="H2:H10">
    <x:cfRule type="dataBar" priority="4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{6FC4FC7F-ECCD-76F0-2506-7A147A28A355}</x14:id>
        </x:ext>
      </x:extLst>
    </x:cfRule>
  </x:conditionalFormatting>
  <x:conditionalFormatting sqref="I2:I10">
    <x:cfRule type="dataBar" priority="5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{FE6F5C51-683F-A670-CA6E-69C6388FC997}</x14:id>
        </x:ext>
      </x:extLst>
    </x:cfRule>
  </x:conditionalFormatting>
  <x:conditionalFormatting sqref="J2:J10">
    <x:cfRule type="dataBar" priority="6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{5AE5E050-FF97-3C82-39B4-2B1A1309FB08}</x14:id>
        </x:ext>
      </x:extLst>
    </x:cfRule>
  </x:conditionalFormatting>
  <x:conditionalFormatting sqref="K2:K10">
    <x:cfRule type="dataBar" priority="7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{B18852B0-721E-3936-1BD5-B725C60DDC39}</x14:id>
        </x:ext>
      </x:extLst>
    </x:cfRule>
  </x:conditionalFormatting>
  <x:conditionalFormatting sqref="L2:L10">
    <x:cfRule type="dataBar" priority="8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{55373FFB-3431-D6F9-99C9-A3EA95DF3809}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bfd7b464a343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F03FB2-F473-ED5B-2234-462900219554}">
            <x14:dataBar gradient="1">
              <x14:cfvo type="min"/>
              <x14:cfvo type="max"/>
              <x14:fillColor rgb="93C5FD"/>
            </x14:dataBar>
          </x14:cfRule>
          <xm:sqref>E2:E10</xm:sqref>
        </x14:conditionalFormatting>
        <x14:conditionalFormatting>
          <x14:cfRule type="dataBar" priority="2" id="{1F025867-4A1E-EE14-D5EA-0976A3052E96}">
            <x14:dataBar gradient="1">
              <x14:cfvo type="min"/>
              <x14:cfvo type="max"/>
              <x14:fillColor rgb="93C5FD"/>
            </x14:dataBar>
          </x14:cfRule>
          <xm:sqref>F2:F10</xm:sqref>
        </x14:conditionalFormatting>
        <x14:conditionalFormatting>
          <x14:cfRule type="dataBar" priority="3" id="{172A69BC-E695-DA72-0183-2DD84E1D065C}">
            <x14:dataBar gradient="1">
              <x14:cfvo type="min"/>
              <x14:cfvo type="max"/>
              <x14:fillColor rgb="93C5FD"/>
            </x14:dataBar>
          </x14:cfRule>
          <xm:sqref>G2:G10</xm:sqref>
        </x14:conditionalFormatting>
        <x14:conditionalFormatting>
          <x14:cfRule type="dataBar" priority="4" id="{6FC4FC7F-ECCD-76F0-2506-7A147A28A355}">
            <x14:dataBar gradient="1">
              <x14:cfvo type="min"/>
              <x14:cfvo type="max"/>
              <x14:fillColor rgb="93C5FD"/>
            </x14:dataBar>
          </x14:cfRule>
          <xm:sqref>H2:H10</xm:sqref>
        </x14:conditionalFormatting>
        <x14:conditionalFormatting>
          <x14:cfRule type="dataBar" priority="5" id="{FE6F5C51-683F-A670-CA6E-69C6388FC997}">
            <x14:dataBar gradient="1">
              <x14:cfvo type="min"/>
              <x14:cfvo type="max"/>
              <x14:fillColor rgb="93C5FD"/>
            </x14:dataBar>
          </x14:cfRule>
          <xm:sqref>I2:I10</xm:sqref>
        </x14:conditionalFormatting>
        <x14:conditionalFormatting>
          <x14:cfRule type="dataBar" priority="6" id="{5AE5E050-FF97-3C82-39B4-2B1A1309FB08}">
            <x14:dataBar gradient="1">
              <x14:cfvo type="min"/>
              <x14:cfvo type="max"/>
              <x14:fillColor rgb="93C5FD"/>
            </x14:dataBar>
          </x14:cfRule>
          <xm:sqref>J2:J10</xm:sqref>
        </x14:conditionalFormatting>
        <x14:conditionalFormatting>
          <x14:cfRule type="dataBar" priority="7" id="{B18852B0-721E-3936-1BD5-B725C60DDC39}">
            <x14:dataBar gradient="1">
              <x14:cfvo type="min"/>
              <x14:cfvo type="max"/>
              <x14:fillColor rgb="93C5FD"/>
            </x14:dataBar>
          </x14:cfRule>
          <xm:sqref>K2:K10</xm:sqref>
        </x14:conditionalFormatting>
        <x14:conditionalFormatting>
          <x14:cfRule type="dataBar" priority="8" id="{55373FFB-3431-D6F9-99C9-A3EA95DF3809}">
            <x14:dataBar gradient="1">
              <x14:cfvo type="min"/>
              <x14:cfvo type="max"/>
              <x14:fillColor rgb="93C5FD"/>
            </x14:dataBar>
          </x14:cfRule>
          <xm:sqref>L2:L10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3.630000114440918" hidden="0" customWidth="1"/>
    <x:col min="3" max="3" width="3.0999999046325684" hidden="0" customWidth="1"/>
    <x:col min="4" max="4" width="8.079999923706055" hidden="0" customWidth="1"/>
    <x:col min="5" max="5" width="5.650000095367432" hidden="0" customWidth="1"/>
    <x:col min="6" max="6" width="6.059999942779541" hidden="0" customWidth="1"/>
    <x:col min="7" max="7" width="12.25" hidden="0" customWidth="1"/>
    <x:col min="8" max="8" width="12.109999656677246" hidden="0" customWidth="1"/>
    <x:col min="9" max="9" width="18.299999237060547" hidden="0" customWidth="1"/>
    <x:col min="10" max="10" width="11.170000076293945" hidden="0" customWidth="1"/>
    <x:col min="11" max="11" width="7.130000114440918" hidden="0" customWidth="1"/>
    <x:col min="12" max="12" width="10.770000457763672" hidden="0" customWidth="1"/>
    <x:col min="13" max="13" width="15.75" hidden="0" customWidth="1"/>
    <x:col min="14" max="14" width="28" hidden="0" customWidth="1"/>
    <x:col min="15" max="15" width="12" hidden="0" customWidth="1"/>
    <x:col min="16" max="16" width="8.34000015258789" hidden="0" customWidth="1"/>
    <x:col min="17" max="17" width="44" hidden="0" customWidth="1"/>
  </x:cols>
  <x:sheetData>
    <x:row r="1">
      <x:c r="A1" s="48" t="str">
        <x:v>StateID</x:v>
      </x:c>
      <x:c r="B1" s="48" t="str">
        <x:v>n</x:v>
      </x:c>
      <x:c r="C1" s="48" t="str">
        <x:v>l</x:v>
      </x:c>
      <x:c r="D1" s="48" t="str">
        <x:v>orbital</x:v>
      </x:c>
      <x:c r="E1" s="48" t="str">
        <x:v>m_l</x:v>
      </x:c>
      <x:c r="F1" s="48" t="str">
        <x:v>spin</x:v>
      </x:c>
      <x:c r="G1" s="48" t="str">
        <x:v>Degeneracy</x:v>
      </x:c>
      <x:c r="H1" s="48" t="str">
        <x:v>RadialLayer</x:v>
      </x:c>
      <x:c r="I1" s="48" t="str">
        <x:v>AngularComplexity</x:v>
      </x:c>
      <x:c r="J1" s="48" t="str">
        <x:v>DirectionX</x:v>
      </x:c>
      <x:c r="K1" s="48" t="str">
        <x:v>SpinZ</x:v>
      </x:c>
      <x:c r="L1" s="48" t="str">
        <x:v>GateNeed</x:v>
      </x:c>
      <x:c r="M1" s="48" t="str">
        <x:v>CoherenceScore</x:v>
      </x:c>
      <x:c r="N1" s="48" t="str">
        <x:v>RuneRole</x:v>
      </x:c>
      <x:c r="O1" s="48" t="str">
        <x:v>RunePacket</x:v>
      </x:c>
      <x:c r="P1" s="48" t="str">
        <x:v>Verdict</x:v>
      </x:c>
      <x:c r="Q1" s="48" t="str">
        <x:v>Meaning</x:v>
      </x:c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 t="str">
        <x:v>Q001</x:v>
      </x:c>
      <x:c r="B2" s="47" t="n">
        <x:v>1</x:v>
      </x:c>
      <x:c r="C2" s="47" t="n">
        <x:v>0</x:v>
      </x:c>
      <x:c r="D2" s="47" t="str">
        <x:v>s</x:v>
      </x:c>
      <x:c r="E2" s="47" t="n">
        <x:v>0</x:v>
      </x:c>
      <x:c r="F2" s="47" t="n">
        <x:v>-0.5</x:v>
      </x:c>
      <x:c r="G2" s="47" t="n">
        <x:v>2</x:v>
      </x:c>
      <x:c r="H2" s="47" t="n">
        <x:v>1</x:v>
      </x:c>
      <x:c r="I2" s="47" t="n">
        <x:v>0</x:v>
      </x:c>
      <x:c r="J2" s="47" t="n">
        <x:v>0</x:v>
      </x:c>
      <x:c r="K2" s="47" t="n">
        <x:v>-1</x:v>
      </x:c>
      <x:c r="L2" s="47" t="n">
        <x:v>4</x:v>
      </x:c>
      <x:c r="M2" s="47" t="n">
        <x:v>100</x:v>
      </x:c>
      <x:c r="N2" s="47" t="str">
        <x:v>Bindu seed / spherical field</x:v>
      </x:c>
      <x:c r="O2" s="47" t="str">
        <x:v>✦◎</x:v>
      </x:c>
      <x:c r="P2" s="47" t="str">
        <x:v>OPEN</x:v>
      </x:c>
      <x:c r="Q2" s="47" t="str">
        <x:v>n=1, s-state; spot orientation m=0; spin polarity -0.5.</x:v>
      </x:c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 t="str">
        <x:v>Q002</x:v>
      </x:c>
      <x:c r="B3" s="47" t="n">
        <x:v>1</x:v>
      </x:c>
      <x:c r="C3" s="47" t="n">
        <x:v>0</x:v>
      </x:c>
      <x:c r="D3" s="47" t="str">
        <x:v>s</x:v>
      </x:c>
      <x:c r="E3" s="47" t="n">
        <x:v>0</x:v>
      </x:c>
      <x:c r="F3" s="47" t="n">
        <x:v>0.5</x:v>
      </x:c>
      <x:c r="G3" s="47" t="n">
        <x:v>2</x:v>
      </x:c>
      <x:c r="H3" s="47" t="n">
        <x:v>1</x:v>
      </x:c>
      <x:c r="I3" s="47" t="n">
        <x:v>0</x:v>
      </x:c>
      <x:c r="J3" s="47" t="n">
        <x:v>0</x:v>
      </x:c>
      <x:c r="K3" s="47" t="n">
        <x:v>1</x:v>
      </x:c>
      <x:c r="L3" s="47" t="n">
        <x:v>0</x:v>
      </x:c>
      <x:c r="M3" s="47" t="n">
        <x:v>100</x:v>
      </x:c>
      <x:c r="N3" s="47" t="str">
        <x:v>Bindu seed / spherical field</x:v>
      </x:c>
      <x:c r="O3" s="47" t="str">
        <x:v>✦◎</x:v>
      </x:c>
      <x:c r="P3" s="47" t="str">
        <x:v>OPEN</x:v>
      </x:c>
      <x:c r="Q3" s="47" t="str">
        <x:v>n=1, s-state; spot orientation m=0; spin polarity +0.5.</x:v>
      </x:c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7" t="str">
        <x:v>Q003</x:v>
      </x:c>
      <x:c r="B4" s="47" t="n">
        <x:v>2</x:v>
      </x:c>
      <x:c r="C4" s="47" t="n">
        <x:v>0</x:v>
      </x:c>
      <x:c r="D4" s="47" t="str">
        <x:v>s</x:v>
      </x:c>
      <x:c r="E4" s="47" t="n">
        <x:v>0</x:v>
      </x:c>
      <x:c r="F4" s="47" t="n">
        <x:v>-0.5</x:v>
      </x:c>
      <x:c r="G4" s="47" t="n">
        <x:v>2</x:v>
      </x:c>
      <x:c r="H4" s="47" t="n">
        <x:v>2</x:v>
      </x:c>
      <x:c r="I4" s="47" t="n">
        <x:v>0</x:v>
      </x:c>
      <x:c r="J4" s="47" t="n">
        <x:v>0</x:v>
      </x:c>
      <x:c r="K4" s="47" t="n">
        <x:v>-1</x:v>
      </x:c>
      <x:c r="L4" s="47" t="n">
        <x:v>4</x:v>
      </x:c>
      <x:c r="M4" s="47" t="n">
        <x:v>100</x:v>
      </x:c>
      <x:c r="N4" s="47" t="str">
        <x:v>Bindu seed / spherical field</x:v>
      </x:c>
      <x:c r="O4" s="47" t="str">
        <x:v>✦◎</x:v>
      </x:c>
      <x:c r="P4" s="47" t="str">
        <x:v>OPEN</x:v>
      </x:c>
      <x:c r="Q4" s="47" t="str">
        <x:v>n=2, s-state; spot orientation m=0; spin polarity -0.5.</x:v>
      </x:c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7" t="str">
        <x:v>Q004</x:v>
      </x:c>
      <x:c r="B5" s="47" t="n">
        <x:v>2</x:v>
      </x:c>
      <x:c r="C5" s="47" t="n">
        <x:v>0</x:v>
      </x:c>
      <x:c r="D5" s="47" t="str">
        <x:v>s</x:v>
      </x:c>
      <x:c r="E5" s="47" t="n">
        <x:v>0</x:v>
      </x:c>
      <x:c r="F5" s="47" t="n">
        <x:v>0.5</x:v>
      </x:c>
      <x:c r="G5" s="47" t="n">
        <x:v>2</x:v>
      </x:c>
      <x:c r="H5" s="47" t="n">
        <x:v>2</x:v>
      </x:c>
      <x:c r="I5" s="47" t="n">
        <x:v>0</x:v>
      </x:c>
      <x:c r="J5" s="47" t="n">
        <x:v>0</x:v>
      </x:c>
      <x:c r="K5" s="47" t="n">
        <x:v>1</x:v>
      </x:c>
      <x:c r="L5" s="47" t="n">
        <x:v>0</x:v>
      </x:c>
      <x:c r="M5" s="47" t="n">
        <x:v>100</x:v>
      </x:c>
      <x:c r="N5" s="47" t="str">
        <x:v>Bindu seed / spherical field</x:v>
      </x:c>
      <x:c r="O5" s="47" t="str">
        <x:v>✦◎</x:v>
      </x:c>
      <x:c r="P5" s="47" t="str">
        <x:v>OPEN</x:v>
      </x:c>
      <x:c r="Q5" s="47" t="str">
        <x:v>n=2, s-state; spot orientation m=0; spin polarity +0.5.</x:v>
      </x:c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7" t="str">
        <x:v>Q005</x:v>
      </x:c>
      <x:c r="B6" s="47" t="n">
        <x:v>2</x:v>
      </x:c>
      <x:c r="C6" s="47" t="n">
        <x:v>1</x:v>
      </x:c>
      <x:c r="D6" s="47" t="str">
        <x:v>p</x:v>
      </x:c>
      <x:c r="E6" s="47" t="n">
        <x:v>-1</x:v>
      </x:c>
      <x:c r="F6" s="47" t="n">
        <x:v>-0.5</x:v>
      </x:c>
      <x:c r="G6" s="47" t="n">
        <x:v>6</x:v>
      </x:c>
      <x:c r="H6" s="47" t="n">
        <x:v>2</x:v>
      </x:c>
      <x:c r="I6" s="47" t="n">
        <x:v>0.33</x:v>
      </x:c>
      <x:c r="J6" s="47" t="n">
        <x:v>-1</x:v>
      </x:c>
      <x:c r="K6" s="47" t="n">
        <x:v>-1</x:v>
      </x:c>
      <x:c r="L6" s="47" t="n">
        <x:v>34</x:v>
      </x:c>
      <x:c r="M6" s="47" t="n">
        <x:v>66.7</x:v>
      </x:c>
      <x:c r="N6" s="47" t="str">
        <x:v>Archer direction / dumbbell spot</x:v>
      </x:c>
      <x:c r="O6" s="47" t="str">
        <x:v>ᛏ△</x:v>
      </x:c>
      <x:c r="P6" s="47" t="str">
        <x:v>ASK</x:v>
      </x:c>
      <x:c r="Q6" s="47" t="str">
        <x:v>n=2, p-state; spot orientation m=-1; spin polarity -0.5.</x:v>
      </x:c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7" t="str">
        <x:v>Q006</x:v>
      </x:c>
      <x:c r="B7" s="47" t="n">
        <x:v>2</x:v>
      </x:c>
      <x:c r="C7" s="47" t="n">
        <x:v>1</x:v>
      </x:c>
      <x:c r="D7" s="47" t="str">
        <x:v>p</x:v>
      </x:c>
      <x:c r="E7" s="47" t="n">
        <x:v>-1</x:v>
      </x:c>
      <x:c r="F7" s="47" t="n">
        <x:v>0.5</x:v>
      </x:c>
      <x:c r="G7" s="47" t="n">
        <x:v>6</x:v>
      </x:c>
      <x:c r="H7" s="47" t="n">
        <x:v>2</x:v>
      </x:c>
      <x:c r="I7" s="47" t="n">
        <x:v>0.33</x:v>
      </x:c>
      <x:c r="J7" s="47" t="n">
        <x:v>-1</x:v>
      </x:c>
      <x:c r="K7" s="47" t="n">
        <x:v>1</x:v>
      </x:c>
      <x:c r="L7" s="47" t="n">
        <x:v>30</x:v>
      </x:c>
      <x:c r="M7" s="47" t="n">
        <x:v>66.7</x:v>
      </x:c>
      <x:c r="N7" s="47" t="str">
        <x:v>Archer direction / dumbbell spot</x:v>
      </x:c>
      <x:c r="O7" s="47" t="str">
        <x:v>ᛏ△</x:v>
      </x:c>
      <x:c r="P7" s="47" t="str">
        <x:v>ASK</x:v>
      </x:c>
      <x:c r="Q7" s="47" t="str">
        <x:v>n=2, p-state; spot orientation m=-1; spin polarity +0.5.</x:v>
      </x:c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7" t="str">
        <x:v>Q007</x:v>
      </x:c>
      <x:c r="B8" s="47" t="n">
        <x:v>2</x:v>
      </x:c>
      <x:c r="C8" s="47" t="n">
        <x:v>1</x:v>
      </x:c>
      <x:c r="D8" s="47" t="str">
        <x:v>p</x:v>
      </x:c>
      <x:c r="E8" s="47" t="n">
        <x:v>0</x:v>
      </x:c>
      <x:c r="F8" s="47" t="n">
        <x:v>-0.5</x:v>
      </x:c>
      <x:c r="G8" s="47" t="n">
        <x:v>6</x:v>
      </x:c>
      <x:c r="H8" s="47" t="n">
        <x:v>2</x:v>
      </x:c>
      <x:c r="I8" s="47" t="n">
        <x:v>0.33</x:v>
      </x:c>
      <x:c r="J8" s="47" t="n">
        <x:v>0</x:v>
      </x:c>
      <x:c r="K8" s="47" t="n">
        <x:v>-1</x:v>
      </x:c>
      <x:c r="L8" s="47" t="n">
        <x:v>24</x:v>
      </x:c>
      <x:c r="M8" s="47" t="n">
        <x:v>74.1</x:v>
      </x:c>
      <x:c r="N8" s="47" t="str">
        <x:v>Archer direction / dumbbell spot</x:v>
      </x:c>
      <x:c r="O8" s="47" t="str">
        <x:v>ᛏ△</x:v>
      </x:c>
      <x:c r="P8" s="47" t="str">
        <x:v>ASK</x:v>
      </x:c>
      <x:c r="Q8" s="47" t="str">
        <x:v>n=2, p-state; spot orientation m=0; spin polarity -0.5.</x:v>
      </x:c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 t="str">
        <x:v>Q008</x:v>
      </x:c>
      <x:c r="B9" s="47" t="n">
        <x:v>2</x:v>
      </x:c>
      <x:c r="C9" s="47" t="n">
        <x:v>1</x:v>
      </x:c>
      <x:c r="D9" s="47" t="str">
        <x:v>p</x:v>
      </x:c>
      <x:c r="E9" s="47" t="n">
        <x:v>0</x:v>
      </x:c>
      <x:c r="F9" s="47" t="n">
        <x:v>0.5</x:v>
      </x:c>
      <x:c r="G9" s="47" t="n">
        <x:v>6</x:v>
      </x:c>
      <x:c r="H9" s="47" t="n">
        <x:v>2</x:v>
      </x:c>
      <x:c r="I9" s="47" t="n">
        <x:v>0.33</x:v>
      </x:c>
      <x:c r="J9" s="47" t="n">
        <x:v>0</x:v>
      </x:c>
      <x:c r="K9" s="47" t="n">
        <x:v>1</x:v>
      </x:c>
      <x:c r="L9" s="47" t="n">
        <x:v>20</x:v>
      </x:c>
      <x:c r="M9" s="47" t="n">
        <x:v>74.1</x:v>
      </x:c>
      <x:c r="N9" s="47" t="str">
        <x:v>Archer direction / dumbbell spot</x:v>
      </x:c>
      <x:c r="O9" s="47" t="str">
        <x:v>ᛏ△</x:v>
      </x:c>
      <x:c r="P9" s="47" t="str">
        <x:v>ASK</x:v>
      </x:c>
      <x:c r="Q9" s="47" t="str">
        <x:v>n=2, p-state; spot orientation m=0; spin polarity +0.5.</x:v>
      </x:c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 t="str">
        <x:v>Q009</x:v>
      </x:c>
      <x:c r="B10" s="47" t="n">
        <x:v>2</x:v>
      </x:c>
      <x:c r="C10" s="47" t="n">
        <x:v>1</x:v>
      </x:c>
      <x:c r="D10" s="47" t="str">
        <x:v>p</x:v>
      </x:c>
      <x:c r="E10" s="47" t="n">
        <x:v>1</x:v>
      </x:c>
      <x:c r="F10" s="47" t="n">
        <x:v>-0.5</x:v>
      </x:c>
      <x:c r="G10" s="47" t="n">
        <x:v>6</x:v>
      </x:c>
      <x:c r="H10" s="47" t="n">
        <x:v>2</x:v>
      </x:c>
      <x:c r="I10" s="47" t="n">
        <x:v>0.33</x:v>
      </x:c>
      <x:c r="J10" s="47" t="n">
        <x:v>1</x:v>
      </x:c>
      <x:c r="K10" s="47" t="n">
        <x:v>-1</x:v>
      </x:c>
      <x:c r="L10" s="47" t="n">
        <x:v>34</x:v>
      </x:c>
      <x:c r="M10" s="47" t="n">
        <x:v>66.7</x:v>
      </x:c>
      <x:c r="N10" s="47" t="str">
        <x:v>Archer direction / dumbbell spot</x:v>
      </x:c>
      <x:c r="O10" s="47" t="str">
        <x:v>ᛏ△</x:v>
      </x:c>
      <x:c r="P10" s="47" t="str">
        <x:v>ASK</x:v>
      </x:c>
      <x:c r="Q10" s="47" t="str">
        <x:v>n=2, p-state; spot orientation m=1; spin polarity -0.5.</x:v>
      </x:c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 t="str">
        <x:v>Q010</x:v>
      </x:c>
      <x:c r="B11" s="47" t="n">
        <x:v>2</x:v>
      </x:c>
      <x:c r="C11" s="47" t="n">
        <x:v>1</x:v>
      </x:c>
      <x:c r="D11" s="47" t="str">
        <x:v>p</x:v>
      </x:c>
      <x:c r="E11" s="47" t="n">
        <x:v>1</x:v>
      </x:c>
      <x:c r="F11" s="47" t="n">
        <x:v>0.5</x:v>
      </x:c>
      <x:c r="G11" s="47" t="n">
        <x:v>6</x:v>
      </x:c>
      <x:c r="H11" s="47" t="n">
        <x:v>2</x:v>
      </x:c>
      <x:c r="I11" s="47" t="n">
        <x:v>0.33</x:v>
      </x:c>
      <x:c r="J11" s="47" t="n">
        <x:v>1</x:v>
      </x:c>
      <x:c r="K11" s="47" t="n">
        <x:v>1</x:v>
      </x:c>
      <x:c r="L11" s="47" t="n">
        <x:v>30</x:v>
      </x:c>
      <x:c r="M11" s="47" t="n">
        <x:v>66.7</x:v>
      </x:c>
      <x:c r="N11" s="47" t="str">
        <x:v>Archer direction / dumbbell spot</x:v>
      </x:c>
      <x:c r="O11" s="47" t="str">
        <x:v>ᛏ△</x:v>
      </x:c>
      <x:c r="P11" s="47" t="str">
        <x:v>ASK</x:v>
      </x:c>
      <x:c r="Q11" s="47" t="str">
        <x:v>n=2, p-state; spot orientation m=1; spin polarity +0.5.</x:v>
      </x:c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 t="str">
        <x:v>Q011</x:v>
      </x:c>
      <x:c r="B12" s="47" t="n">
        <x:v>3</x:v>
      </x:c>
      <x:c r="C12" s="47" t="n">
        <x:v>0</x:v>
      </x:c>
      <x:c r="D12" s="47" t="str">
        <x:v>s</x:v>
      </x:c>
      <x:c r="E12" s="47" t="n">
        <x:v>0</x:v>
      </x:c>
      <x:c r="F12" s="47" t="n">
        <x:v>-0.5</x:v>
      </x:c>
      <x:c r="G12" s="47" t="n">
        <x:v>2</x:v>
      </x:c>
      <x:c r="H12" s="47" t="n">
        <x:v>3</x:v>
      </x:c>
      <x:c r="I12" s="47" t="n">
        <x:v>0</x:v>
      </x:c>
      <x:c r="J12" s="47" t="n">
        <x:v>0</x:v>
      </x:c>
      <x:c r="K12" s="47" t="n">
        <x:v>-1</x:v>
      </x:c>
      <x:c r="L12" s="47" t="n">
        <x:v>4</x:v>
      </x:c>
      <x:c r="M12" s="47" t="n">
        <x:v>100</x:v>
      </x:c>
      <x:c r="N12" s="47" t="str">
        <x:v>Bindu seed / spherical field</x:v>
      </x:c>
      <x:c r="O12" s="47" t="str">
        <x:v>✦◎</x:v>
      </x:c>
      <x:c r="P12" s="47" t="str">
        <x:v>OPEN</x:v>
      </x:c>
      <x:c r="Q12" s="47" t="str">
        <x:v>n=3, s-state; spot orientation m=0; spin polarity -0.5.</x:v>
      </x:c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 t="str">
        <x:v>Q012</x:v>
      </x:c>
      <x:c r="B13" s="47" t="n">
        <x:v>3</x:v>
      </x:c>
      <x:c r="C13" s="47" t="n">
        <x:v>0</x:v>
      </x:c>
      <x:c r="D13" s="47" t="str">
        <x:v>s</x:v>
      </x:c>
      <x:c r="E13" s="47" t="n">
        <x:v>0</x:v>
      </x:c>
      <x:c r="F13" s="47" t="n">
        <x:v>0.5</x:v>
      </x:c>
      <x:c r="G13" s="47" t="n">
        <x:v>2</x:v>
      </x:c>
      <x:c r="H13" s="47" t="n">
        <x:v>3</x:v>
      </x:c>
      <x:c r="I13" s="47" t="n">
        <x:v>0</x:v>
      </x:c>
      <x:c r="J13" s="47" t="n">
        <x:v>0</x:v>
      </x:c>
      <x:c r="K13" s="47" t="n">
        <x:v>1</x:v>
      </x:c>
      <x:c r="L13" s="47" t="n">
        <x:v>0</x:v>
      </x:c>
      <x:c r="M13" s="47" t="n">
        <x:v>100</x:v>
      </x:c>
      <x:c r="N13" s="47" t="str">
        <x:v>Bindu seed / spherical field</x:v>
      </x:c>
      <x:c r="O13" s="47" t="str">
        <x:v>✦◎</x:v>
      </x:c>
      <x:c r="P13" s="47" t="str">
        <x:v>OPEN</x:v>
      </x:c>
      <x:c r="Q13" s="47" t="str">
        <x:v>n=3, s-state; spot orientation m=0; spin polarity +0.5.</x:v>
      </x:c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 t="str">
        <x:v>Q013</x:v>
      </x:c>
      <x:c r="B14" s="47" t="n">
        <x:v>3</x:v>
      </x:c>
      <x:c r="C14" s="47" t="n">
        <x:v>1</x:v>
      </x:c>
      <x:c r="D14" s="47" t="str">
        <x:v>p</x:v>
      </x:c>
      <x:c r="E14" s="47" t="n">
        <x:v>-1</x:v>
      </x:c>
      <x:c r="F14" s="47" t="n">
        <x:v>-0.5</x:v>
      </x:c>
      <x:c r="G14" s="47" t="n">
        <x:v>6</x:v>
      </x:c>
      <x:c r="H14" s="47" t="n">
        <x:v>3</x:v>
      </x:c>
      <x:c r="I14" s="47" t="n">
        <x:v>0.33</x:v>
      </x:c>
      <x:c r="J14" s="47" t="n">
        <x:v>-1</x:v>
      </x:c>
      <x:c r="K14" s="47" t="n">
        <x:v>-1</x:v>
      </x:c>
      <x:c r="L14" s="47" t="n">
        <x:v>34</x:v>
      </x:c>
      <x:c r="M14" s="47" t="n">
        <x:v>66.7</x:v>
      </x:c>
      <x:c r="N14" s="47" t="str">
        <x:v>Archer direction / dumbbell spot</x:v>
      </x:c>
      <x:c r="O14" s="47" t="str">
        <x:v>ᛏ△</x:v>
      </x:c>
      <x:c r="P14" s="47" t="str">
        <x:v>ASK</x:v>
      </x:c>
      <x:c r="Q14" s="47" t="str">
        <x:v>n=3, p-state; spot orientation m=-1; spin polarity -0.5.</x:v>
      </x:c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 t="str">
        <x:v>Q014</x:v>
      </x:c>
      <x:c r="B15" s="47" t="n">
        <x:v>3</x:v>
      </x:c>
      <x:c r="C15" s="47" t="n">
        <x:v>1</x:v>
      </x:c>
      <x:c r="D15" s="47" t="str">
        <x:v>p</x:v>
      </x:c>
      <x:c r="E15" s="47" t="n">
        <x:v>-1</x:v>
      </x:c>
      <x:c r="F15" s="47" t="n">
        <x:v>0.5</x:v>
      </x:c>
      <x:c r="G15" s="47" t="n">
        <x:v>6</x:v>
      </x:c>
      <x:c r="H15" s="47" t="n">
        <x:v>3</x:v>
      </x:c>
      <x:c r="I15" s="47" t="n">
        <x:v>0.33</x:v>
      </x:c>
      <x:c r="J15" s="47" t="n">
        <x:v>-1</x:v>
      </x:c>
      <x:c r="K15" s="47" t="n">
        <x:v>1</x:v>
      </x:c>
      <x:c r="L15" s="47" t="n">
        <x:v>30</x:v>
      </x:c>
      <x:c r="M15" s="47" t="n">
        <x:v>66.7</x:v>
      </x:c>
      <x:c r="N15" s="47" t="str">
        <x:v>Archer direction / dumbbell spot</x:v>
      </x:c>
      <x:c r="O15" s="47" t="str">
        <x:v>ᛏ△</x:v>
      </x:c>
      <x:c r="P15" s="47" t="str">
        <x:v>ASK</x:v>
      </x:c>
      <x:c r="Q15" s="47" t="str">
        <x:v>n=3, p-state; spot orientation m=-1; spin polarity +0.5.</x:v>
      </x:c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 t="str">
        <x:v>Q015</x:v>
      </x:c>
      <x:c r="B16" s="47" t="n">
        <x:v>3</x:v>
      </x:c>
      <x:c r="C16" s="47" t="n">
        <x:v>1</x:v>
      </x:c>
      <x:c r="D16" s="47" t="str">
        <x:v>p</x:v>
      </x:c>
      <x:c r="E16" s="47" t="n">
        <x:v>0</x:v>
      </x:c>
      <x:c r="F16" s="47" t="n">
        <x:v>-0.5</x:v>
      </x:c>
      <x:c r="G16" s="47" t="n">
        <x:v>6</x:v>
      </x:c>
      <x:c r="H16" s="47" t="n">
        <x:v>3</x:v>
      </x:c>
      <x:c r="I16" s="47" t="n">
        <x:v>0.33</x:v>
      </x:c>
      <x:c r="J16" s="47" t="n">
        <x:v>0</x:v>
      </x:c>
      <x:c r="K16" s="47" t="n">
        <x:v>-1</x:v>
      </x:c>
      <x:c r="L16" s="47" t="n">
        <x:v>24</x:v>
      </x:c>
      <x:c r="M16" s="47" t="n">
        <x:v>74.1</x:v>
      </x:c>
      <x:c r="N16" s="47" t="str">
        <x:v>Archer direction / dumbbell spot</x:v>
      </x:c>
      <x:c r="O16" s="47" t="str">
        <x:v>ᛏ△</x:v>
      </x:c>
      <x:c r="P16" s="47" t="str">
        <x:v>ASK</x:v>
      </x:c>
      <x:c r="Q16" s="47" t="str">
        <x:v>n=3, p-state; spot orientation m=0; spin polarity -0.5.</x:v>
      </x:c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 t="str">
        <x:v>Q016</x:v>
      </x:c>
      <x:c r="B17" s="47" t="n">
        <x:v>3</x:v>
      </x:c>
      <x:c r="C17" s="47" t="n">
        <x:v>1</x:v>
      </x:c>
      <x:c r="D17" s="47" t="str">
        <x:v>p</x:v>
      </x:c>
      <x:c r="E17" s="47" t="n">
        <x:v>0</x:v>
      </x:c>
      <x:c r="F17" s="47" t="n">
        <x:v>0.5</x:v>
      </x:c>
      <x:c r="G17" s="47" t="n">
        <x:v>6</x:v>
      </x:c>
      <x:c r="H17" s="47" t="n">
        <x:v>3</x:v>
      </x:c>
      <x:c r="I17" s="47" t="n">
        <x:v>0.33</x:v>
      </x:c>
      <x:c r="J17" s="47" t="n">
        <x:v>0</x:v>
      </x:c>
      <x:c r="K17" s="47" t="n">
        <x:v>1</x:v>
      </x:c>
      <x:c r="L17" s="47" t="n">
        <x:v>20</x:v>
      </x:c>
      <x:c r="M17" s="47" t="n">
        <x:v>74.1</x:v>
      </x:c>
      <x:c r="N17" s="47" t="str">
        <x:v>Archer direction / dumbbell spot</x:v>
      </x:c>
      <x:c r="O17" s="47" t="str">
        <x:v>ᛏ△</x:v>
      </x:c>
      <x:c r="P17" s="47" t="str">
        <x:v>ASK</x:v>
      </x:c>
      <x:c r="Q17" s="47" t="str">
        <x:v>n=3, p-state; spot orientation m=0; spin polarity +0.5.</x:v>
      </x:c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 t="str">
        <x:v>Q017</x:v>
      </x:c>
      <x:c r="B18" s="47" t="n">
        <x:v>3</x:v>
      </x:c>
      <x:c r="C18" s="47" t="n">
        <x:v>1</x:v>
      </x:c>
      <x:c r="D18" s="47" t="str">
        <x:v>p</x:v>
      </x:c>
      <x:c r="E18" s="47" t="n">
        <x:v>1</x:v>
      </x:c>
      <x:c r="F18" s="47" t="n">
        <x:v>-0.5</x:v>
      </x:c>
      <x:c r="G18" s="47" t="n">
        <x:v>6</x:v>
      </x:c>
      <x:c r="H18" s="47" t="n">
        <x:v>3</x:v>
      </x:c>
      <x:c r="I18" s="47" t="n">
        <x:v>0.33</x:v>
      </x:c>
      <x:c r="J18" s="47" t="n">
        <x:v>1</x:v>
      </x:c>
      <x:c r="K18" s="47" t="n">
        <x:v>-1</x:v>
      </x:c>
      <x:c r="L18" s="47" t="n">
        <x:v>34</x:v>
      </x:c>
      <x:c r="M18" s="47" t="n">
        <x:v>66.7</x:v>
      </x:c>
      <x:c r="N18" s="47" t="str">
        <x:v>Archer direction / dumbbell spot</x:v>
      </x:c>
      <x:c r="O18" s="47" t="str">
        <x:v>ᛏ△</x:v>
      </x:c>
      <x:c r="P18" s="47" t="str">
        <x:v>ASK</x:v>
      </x:c>
      <x:c r="Q18" s="47" t="str">
        <x:v>n=3, p-state; spot orientation m=1; spin polarity -0.5.</x:v>
      </x:c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 t="str">
        <x:v>Q018</x:v>
      </x:c>
      <x:c r="B19" s="47" t="n">
        <x:v>3</x:v>
      </x:c>
      <x:c r="C19" s="47" t="n">
        <x:v>1</x:v>
      </x:c>
      <x:c r="D19" s="47" t="str">
        <x:v>p</x:v>
      </x:c>
      <x:c r="E19" s="47" t="n">
        <x:v>1</x:v>
      </x:c>
      <x:c r="F19" s="47" t="n">
        <x:v>0.5</x:v>
      </x:c>
      <x:c r="G19" s="47" t="n">
        <x:v>6</x:v>
      </x:c>
      <x:c r="H19" s="47" t="n">
        <x:v>3</x:v>
      </x:c>
      <x:c r="I19" s="47" t="n">
        <x:v>0.33</x:v>
      </x:c>
      <x:c r="J19" s="47" t="n">
        <x:v>1</x:v>
      </x:c>
      <x:c r="K19" s="47" t="n">
        <x:v>1</x:v>
      </x:c>
      <x:c r="L19" s="47" t="n">
        <x:v>30</x:v>
      </x:c>
      <x:c r="M19" s="47" t="n">
        <x:v>66.7</x:v>
      </x:c>
      <x:c r="N19" s="47" t="str">
        <x:v>Archer direction / dumbbell spot</x:v>
      </x:c>
      <x:c r="O19" s="47" t="str">
        <x:v>ᛏ△</x:v>
      </x:c>
      <x:c r="P19" s="47" t="str">
        <x:v>ASK</x:v>
      </x:c>
      <x:c r="Q19" s="47" t="str">
        <x:v>n=3, p-state; spot orientation m=1; spin polarity +0.5.</x:v>
      </x:c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 t="str">
        <x:v>Q019</x:v>
      </x:c>
      <x:c r="B20" s="47" t="n">
        <x:v>3</x:v>
      </x:c>
      <x:c r="C20" s="47" t="n">
        <x:v>2</x:v>
      </x:c>
      <x:c r="D20" s="47" t="str">
        <x:v>d</x:v>
      </x:c>
      <x:c r="E20" s="47" t="n">
        <x:v>-2</x:v>
      </x:c>
      <x:c r="F20" s="47" t="n">
        <x:v>-0.5</x:v>
      </x:c>
      <x:c r="G20" s="47" t="n">
        <x:v>10</x:v>
      </x:c>
      <x:c r="H20" s="47" t="n">
        <x:v>3</x:v>
      </x:c>
      <x:c r="I20" s="47" t="n">
        <x:v>0.67</x:v>
      </x:c>
      <x:c r="J20" s="47" t="n">
        <x:v>-1</x:v>
      </x:c>
      <x:c r="K20" s="47" t="n">
        <x:v>-1</x:v>
      </x:c>
      <x:c r="L20" s="47" t="n">
        <x:v>64</x:v>
      </x:c>
      <x:c r="M20" s="47" t="n">
        <x:v>50</x:v>
      </x:c>
      <x:c r="N20" s="47" t="str">
        <x:v>Engineer lattice / complex spot</x:v>
      </x:c>
      <x:c r="O20" s="47" t="str">
        <x:v>□◉</x:v>
      </x:c>
      <x:c r="P20" s="47" t="str">
        <x:v>HOLD</x:v>
      </x:c>
      <x:c r="Q20" s="47" t="str">
        <x:v>n=3, d-state; spot orientation m=-2; spin polarity -0.5.</x:v>
      </x:c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 t="str">
        <x:v>Q020</x:v>
      </x:c>
      <x:c r="B21" s="47" t="n">
        <x:v>3</x:v>
      </x:c>
      <x:c r="C21" s="47" t="n">
        <x:v>2</x:v>
      </x:c>
      <x:c r="D21" s="47" t="str">
        <x:v>d</x:v>
      </x:c>
      <x:c r="E21" s="47" t="n">
        <x:v>-2</x:v>
      </x:c>
      <x:c r="F21" s="47" t="n">
        <x:v>0.5</x:v>
      </x:c>
      <x:c r="G21" s="47" t="n">
        <x:v>10</x:v>
      </x:c>
      <x:c r="H21" s="47" t="n">
        <x:v>3</x:v>
      </x:c>
      <x:c r="I21" s="47" t="n">
        <x:v>0.67</x:v>
      </x:c>
      <x:c r="J21" s="47" t="n">
        <x:v>-1</x:v>
      </x:c>
      <x:c r="K21" s="47" t="n">
        <x:v>1</x:v>
      </x:c>
      <x:c r="L21" s="47" t="n">
        <x:v>60</x:v>
      </x:c>
      <x:c r="M21" s="47" t="n">
        <x:v>50</x:v>
      </x:c>
      <x:c r="N21" s="47" t="str">
        <x:v>Engineer lattice / complex spot</x:v>
      </x:c>
      <x:c r="O21" s="47" t="str">
        <x:v>□◉</x:v>
      </x:c>
      <x:c r="P21" s="47" t="str">
        <x:v>HOLD</x:v>
      </x:c>
      <x:c r="Q21" s="47" t="str">
        <x:v>n=3, d-state; spot orientation m=-2; spin polarity +0.5.</x:v>
      </x:c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 t="str">
        <x:v>Q021</x:v>
      </x:c>
      <x:c r="B22" s="47" t="n">
        <x:v>3</x:v>
      </x:c>
      <x:c r="C22" s="47" t="n">
        <x:v>2</x:v>
      </x:c>
      <x:c r="D22" s="47" t="str">
        <x:v>d</x:v>
      </x:c>
      <x:c r="E22" s="47" t="n">
        <x:v>-1</x:v>
      </x:c>
      <x:c r="F22" s="47" t="n">
        <x:v>-0.5</x:v>
      </x:c>
      <x:c r="G22" s="47" t="n">
        <x:v>10</x:v>
      </x:c>
      <x:c r="H22" s="47" t="n">
        <x:v>3</x:v>
      </x:c>
      <x:c r="I22" s="47" t="n">
        <x:v>0.67</x:v>
      </x:c>
      <x:c r="J22" s="47" t="n">
        <x:v>-0.5</x:v>
      </x:c>
      <x:c r="K22" s="47" t="n">
        <x:v>-1</x:v>
      </x:c>
      <x:c r="L22" s="47" t="n">
        <x:v>54</x:v>
      </x:c>
      <x:c r="M22" s="47" t="n">
        <x:v>54.1</x:v>
      </x:c>
      <x:c r="N22" s="47" t="str">
        <x:v>Engineer lattice / complex spot</x:v>
      </x:c>
      <x:c r="O22" s="47" t="str">
        <x:v>□◉</x:v>
      </x:c>
      <x:c r="P22" s="47" t="str">
        <x:v>HOLD</x:v>
      </x:c>
      <x:c r="Q22" s="47" t="str">
        <x:v>n=3, d-state; spot orientation m=-1; spin polarity -0.5.</x:v>
      </x:c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 t="str">
        <x:v>Q022</x:v>
      </x:c>
      <x:c r="B23" s="47" t="n">
        <x:v>3</x:v>
      </x:c>
      <x:c r="C23" s="47" t="n">
        <x:v>2</x:v>
      </x:c>
      <x:c r="D23" s="47" t="str">
        <x:v>d</x:v>
      </x:c>
      <x:c r="E23" s="47" t="n">
        <x:v>-1</x:v>
      </x:c>
      <x:c r="F23" s="47" t="n">
        <x:v>0.5</x:v>
      </x:c>
      <x:c r="G23" s="47" t="n">
        <x:v>10</x:v>
      </x:c>
      <x:c r="H23" s="47" t="n">
        <x:v>3</x:v>
      </x:c>
      <x:c r="I23" s="47" t="n">
        <x:v>0.67</x:v>
      </x:c>
      <x:c r="J23" s="47" t="n">
        <x:v>-0.5</x:v>
      </x:c>
      <x:c r="K23" s="47" t="n">
        <x:v>1</x:v>
      </x:c>
      <x:c r="L23" s="47" t="n">
        <x:v>50</x:v>
      </x:c>
      <x:c r="M23" s="47" t="n">
        <x:v>54.1</x:v>
      </x:c>
      <x:c r="N23" s="47" t="str">
        <x:v>Engineer lattice / complex spot</x:v>
      </x:c>
      <x:c r="O23" s="47" t="str">
        <x:v>□◉</x:v>
      </x:c>
      <x:c r="P23" s="47" t="str">
        <x:v>HOLD</x:v>
      </x:c>
      <x:c r="Q23" s="47" t="str">
        <x:v>n=3, d-state; spot orientation m=-1; spin polarity +0.5.</x:v>
      </x:c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 t="str">
        <x:v>Q023</x:v>
      </x:c>
      <x:c r="B24" s="47" t="n">
        <x:v>3</x:v>
      </x:c>
      <x:c r="C24" s="47" t="n">
        <x:v>2</x:v>
      </x:c>
      <x:c r="D24" s="47" t="str">
        <x:v>d</x:v>
      </x:c>
      <x:c r="E24" s="47" t="n">
        <x:v>0</x:v>
      </x:c>
      <x:c r="F24" s="47" t="n">
        <x:v>-0.5</x:v>
      </x:c>
      <x:c r="G24" s="47" t="n">
        <x:v>10</x:v>
      </x:c>
      <x:c r="H24" s="47" t="n">
        <x:v>3</x:v>
      </x:c>
      <x:c r="I24" s="47" t="n">
        <x:v>0.67</x:v>
      </x:c>
      <x:c r="J24" s="47" t="n">
        <x:v>0</x:v>
      </x:c>
      <x:c r="K24" s="47" t="n">
        <x:v>-1</x:v>
      </x:c>
      <x:c r="L24" s="47" t="n">
        <x:v>44</x:v>
      </x:c>
      <x:c r="M24" s="47" t="n">
        <x:v>58.8</x:v>
      </x:c>
      <x:c r="N24" s="47" t="str">
        <x:v>Engineer lattice / complex spot</x:v>
      </x:c>
      <x:c r="O24" s="47" t="str">
        <x:v>□◉</x:v>
      </x:c>
      <x:c r="P24" s="47" t="str">
        <x:v>REPAIR</x:v>
      </x:c>
      <x:c r="Q24" s="47" t="str">
        <x:v>n=3, d-state; spot orientation m=0; spin polarity -0.5.</x:v>
      </x:c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 t="str">
        <x:v>Q024</x:v>
      </x:c>
      <x:c r="B25" s="47" t="n">
        <x:v>3</x:v>
      </x:c>
      <x:c r="C25" s="47" t="n">
        <x:v>2</x:v>
      </x:c>
      <x:c r="D25" s="47" t="str">
        <x:v>d</x:v>
      </x:c>
      <x:c r="E25" s="47" t="n">
        <x:v>0</x:v>
      </x:c>
      <x:c r="F25" s="47" t="n">
        <x:v>0.5</x:v>
      </x:c>
      <x:c r="G25" s="47" t="n">
        <x:v>10</x:v>
      </x:c>
      <x:c r="H25" s="47" t="n">
        <x:v>3</x:v>
      </x:c>
      <x:c r="I25" s="47" t="n">
        <x:v>0.67</x:v>
      </x:c>
      <x:c r="J25" s="47" t="n">
        <x:v>0</x:v>
      </x:c>
      <x:c r="K25" s="47" t="n">
        <x:v>1</x:v>
      </x:c>
      <x:c r="L25" s="47" t="n">
        <x:v>40</x:v>
      </x:c>
      <x:c r="M25" s="47" t="n">
        <x:v>58.8</x:v>
      </x:c>
      <x:c r="N25" s="47" t="str">
        <x:v>Engineer lattice / complex spot</x:v>
      </x:c>
      <x:c r="O25" s="47" t="str">
        <x:v>□◉</x:v>
      </x:c>
      <x:c r="P25" s="47" t="str">
        <x:v>REPAIR</x:v>
      </x:c>
      <x:c r="Q25" s="47" t="str">
        <x:v>n=3, d-state; spot orientation m=0; spin polarity +0.5.</x:v>
      </x:c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 t="str">
        <x:v>Q025</x:v>
      </x:c>
      <x:c r="B26" s="47" t="n">
        <x:v>3</x:v>
      </x:c>
      <x:c r="C26" s="47" t="n">
        <x:v>2</x:v>
      </x:c>
      <x:c r="D26" s="47" t="str">
        <x:v>d</x:v>
      </x:c>
      <x:c r="E26" s="47" t="n">
        <x:v>1</x:v>
      </x:c>
      <x:c r="F26" s="47" t="n">
        <x:v>-0.5</x:v>
      </x:c>
      <x:c r="G26" s="47" t="n">
        <x:v>10</x:v>
      </x:c>
      <x:c r="H26" s="47" t="n">
        <x:v>3</x:v>
      </x:c>
      <x:c r="I26" s="47" t="n">
        <x:v>0.67</x:v>
      </x:c>
      <x:c r="J26" s="47" t="n">
        <x:v>0.5</x:v>
      </x:c>
      <x:c r="K26" s="47" t="n">
        <x:v>-1</x:v>
      </x:c>
      <x:c r="L26" s="47" t="n">
        <x:v>54</x:v>
      </x:c>
      <x:c r="M26" s="47" t="n">
        <x:v>54.1</x:v>
      </x:c>
      <x:c r="N26" s="47" t="str">
        <x:v>Engineer lattice / complex spot</x:v>
      </x:c>
      <x:c r="O26" s="47" t="str">
        <x:v>□◉</x:v>
      </x:c>
      <x:c r="P26" s="47" t="str">
        <x:v>HOLD</x:v>
      </x:c>
      <x:c r="Q26" s="47" t="str">
        <x:v>n=3, d-state; spot orientation m=1; spin polarity -0.5.</x:v>
      </x:c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 t="str">
        <x:v>Q026</x:v>
      </x:c>
      <x:c r="B27" s="47" t="n">
        <x:v>3</x:v>
      </x:c>
      <x:c r="C27" s="47" t="n">
        <x:v>2</x:v>
      </x:c>
      <x:c r="D27" s="47" t="str">
        <x:v>d</x:v>
      </x:c>
      <x:c r="E27" s="47" t="n">
        <x:v>1</x:v>
      </x:c>
      <x:c r="F27" s="47" t="n">
        <x:v>0.5</x:v>
      </x:c>
      <x:c r="G27" s="47" t="n">
        <x:v>10</x:v>
      </x:c>
      <x:c r="H27" s="47" t="n">
        <x:v>3</x:v>
      </x:c>
      <x:c r="I27" s="47" t="n">
        <x:v>0.67</x:v>
      </x:c>
      <x:c r="J27" s="47" t="n">
        <x:v>0.5</x:v>
      </x:c>
      <x:c r="K27" s="47" t="n">
        <x:v>1</x:v>
      </x:c>
      <x:c r="L27" s="47" t="n">
        <x:v>50</x:v>
      </x:c>
      <x:c r="M27" s="47" t="n">
        <x:v>54.1</x:v>
      </x:c>
      <x:c r="N27" s="47" t="str">
        <x:v>Engineer lattice / complex spot</x:v>
      </x:c>
      <x:c r="O27" s="47" t="str">
        <x:v>□◉</x:v>
      </x:c>
      <x:c r="P27" s="47" t="str">
        <x:v>HOLD</x:v>
      </x:c>
      <x:c r="Q27" s="47" t="str">
        <x:v>n=3, d-state; spot orientation m=1; spin polarity +0.5.</x:v>
      </x:c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 t="str">
        <x:v>Q027</x:v>
      </x:c>
      <x:c r="B28" s="47" t="n">
        <x:v>3</x:v>
      </x:c>
      <x:c r="C28" s="47" t="n">
        <x:v>2</x:v>
      </x:c>
      <x:c r="D28" s="47" t="str">
        <x:v>d</x:v>
      </x:c>
      <x:c r="E28" s="47" t="n">
        <x:v>2</x:v>
      </x:c>
      <x:c r="F28" s="47" t="n">
        <x:v>-0.5</x:v>
      </x:c>
      <x:c r="G28" s="47" t="n">
        <x:v>10</x:v>
      </x:c>
      <x:c r="H28" s="47" t="n">
        <x:v>3</x:v>
      </x:c>
      <x:c r="I28" s="47" t="n">
        <x:v>0.67</x:v>
      </x:c>
      <x:c r="J28" s="47" t="n">
        <x:v>1</x:v>
      </x:c>
      <x:c r="K28" s="47" t="n">
        <x:v>-1</x:v>
      </x:c>
      <x:c r="L28" s="47" t="n">
        <x:v>64</x:v>
      </x:c>
      <x:c r="M28" s="47" t="n">
        <x:v>50</x:v>
      </x:c>
      <x:c r="N28" s="47" t="str">
        <x:v>Engineer lattice / complex spot</x:v>
      </x:c>
      <x:c r="O28" s="47" t="str">
        <x:v>□◉</x:v>
      </x:c>
      <x:c r="P28" s="47" t="str">
        <x:v>HOLD</x:v>
      </x:c>
      <x:c r="Q28" s="47" t="str">
        <x:v>n=3, d-state; spot orientation m=2; spin polarity -0.5.</x:v>
      </x:c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 t="str">
        <x:v>Q028</x:v>
      </x:c>
      <x:c r="B29" s="47" t="n">
        <x:v>3</x:v>
      </x:c>
      <x:c r="C29" s="47" t="n">
        <x:v>2</x:v>
      </x:c>
      <x:c r="D29" s="47" t="str">
        <x:v>d</x:v>
      </x:c>
      <x:c r="E29" s="47" t="n">
        <x:v>2</x:v>
      </x:c>
      <x:c r="F29" s="47" t="n">
        <x:v>0.5</x:v>
      </x:c>
      <x:c r="G29" s="47" t="n">
        <x:v>10</x:v>
      </x:c>
      <x:c r="H29" s="47" t="n">
        <x:v>3</x:v>
      </x:c>
      <x:c r="I29" s="47" t="n">
        <x:v>0.67</x:v>
      </x:c>
      <x:c r="J29" s="47" t="n">
        <x:v>1</x:v>
      </x:c>
      <x:c r="K29" s="47" t="n">
        <x:v>1</x:v>
      </x:c>
      <x:c r="L29" s="47" t="n">
        <x:v>60</x:v>
      </x:c>
      <x:c r="M29" s="47" t="n">
        <x:v>50</x:v>
      </x:c>
      <x:c r="N29" s="47" t="str">
        <x:v>Engineer lattice / complex spot</x:v>
      </x:c>
      <x:c r="O29" s="47" t="str">
        <x:v>□◉</x:v>
      </x:c>
      <x:c r="P29" s="47" t="str">
        <x:v>HOLD</x:v>
      </x:c>
      <x:c r="Q29" s="47" t="str">
        <x:v>n=3, d-state; spot orientation m=2; spin polarity +0.5.</x:v>
      </x:c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 t="str">
        <x:v>Q029</x:v>
      </x:c>
      <x:c r="B30" s="47" t="n">
        <x:v>4</x:v>
      </x:c>
      <x:c r="C30" s="47" t="n">
        <x:v>0</x:v>
      </x:c>
      <x:c r="D30" s="47" t="str">
        <x:v>s</x:v>
      </x:c>
      <x:c r="E30" s="47" t="n">
        <x:v>0</x:v>
      </x:c>
      <x:c r="F30" s="47" t="n">
        <x:v>-0.5</x:v>
      </x:c>
      <x:c r="G30" s="47" t="n">
        <x:v>2</x:v>
      </x:c>
      <x:c r="H30" s="47" t="n">
        <x:v>4</x:v>
      </x:c>
      <x:c r="I30" s="47" t="n">
        <x:v>0</x:v>
      </x:c>
      <x:c r="J30" s="47" t="n">
        <x:v>0</x:v>
      </x:c>
      <x:c r="K30" s="47" t="n">
        <x:v>-1</x:v>
      </x:c>
      <x:c r="L30" s="47" t="n">
        <x:v>4</x:v>
      </x:c>
      <x:c r="M30" s="47" t="n">
        <x:v>85</x:v>
      </x:c>
      <x:c r="N30" s="47" t="str">
        <x:v>Bindu seed / spherical field</x:v>
      </x:c>
      <x:c r="O30" s="47" t="str">
        <x:v>✦◎</x:v>
      </x:c>
      <x:c r="P30" s="47" t="str">
        <x:v>OPEN</x:v>
      </x:c>
      <x:c r="Q30" s="47" t="str">
        <x:v>n=4, s-state; spot orientation m=0; spin polarity -0.5.</x:v>
      </x:c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 t="str">
        <x:v>Q030</x:v>
      </x:c>
      <x:c r="B31" s="47" t="n">
        <x:v>4</x:v>
      </x:c>
      <x:c r="C31" s="47" t="n">
        <x:v>0</x:v>
      </x:c>
      <x:c r="D31" s="47" t="str">
        <x:v>s</x:v>
      </x:c>
      <x:c r="E31" s="47" t="n">
        <x:v>0</x:v>
      </x:c>
      <x:c r="F31" s="47" t="n">
        <x:v>0.5</x:v>
      </x:c>
      <x:c r="G31" s="47" t="n">
        <x:v>2</x:v>
      </x:c>
      <x:c r="H31" s="47" t="n">
        <x:v>4</x:v>
      </x:c>
      <x:c r="I31" s="47" t="n">
        <x:v>0</x:v>
      </x:c>
      <x:c r="J31" s="47" t="n">
        <x:v>0</x:v>
      </x:c>
      <x:c r="K31" s="47" t="n">
        <x:v>1</x:v>
      </x:c>
      <x:c r="L31" s="47" t="n">
        <x:v>0</x:v>
      </x:c>
      <x:c r="M31" s="47" t="n">
        <x:v>85</x:v>
      </x:c>
      <x:c r="N31" s="47" t="str">
        <x:v>Bindu seed / spherical field</x:v>
      </x:c>
      <x:c r="O31" s="47" t="str">
        <x:v>✦◎</x:v>
      </x:c>
      <x:c r="P31" s="47" t="str">
        <x:v>OPEN</x:v>
      </x:c>
      <x:c r="Q31" s="47" t="str">
        <x:v>n=4, s-state; spot orientation m=0; spin polarity +0.5.</x:v>
      </x:c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 t="str">
        <x:v>Q031</x:v>
      </x:c>
      <x:c r="B32" s="47" t="n">
        <x:v>4</x:v>
      </x:c>
      <x:c r="C32" s="47" t="n">
        <x:v>1</x:v>
      </x:c>
      <x:c r="D32" s="47" t="str">
        <x:v>p</x:v>
      </x:c>
      <x:c r="E32" s="47" t="n">
        <x:v>-1</x:v>
      </x:c>
      <x:c r="F32" s="47" t="n">
        <x:v>-0.5</x:v>
      </x:c>
      <x:c r="G32" s="47" t="n">
        <x:v>6</x:v>
      </x:c>
      <x:c r="H32" s="47" t="n">
        <x:v>4</x:v>
      </x:c>
      <x:c r="I32" s="47" t="n">
        <x:v>0.33</x:v>
      </x:c>
      <x:c r="J32" s="47" t="n">
        <x:v>-1</x:v>
      </x:c>
      <x:c r="K32" s="47" t="n">
        <x:v>-1</x:v>
      </x:c>
      <x:c r="L32" s="47" t="n">
        <x:v>34</x:v>
      </x:c>
      <x:c r="M32" s="47" t="n">
        <x:v>56.7</x:v>
      </x:c>
      <x:c r="N32" s="47" t="str">
        <x:v>Archer direction / dumbbell spot</x:v>
      </x:c>
      <x:c r="O32" s="47" t="str">
        <x:v>ᛏ△</x:v>
      </x:c>
      <x:c r="P32" s="47" t="str">
        <x:v>REPAIR</x:v>
      </x:c>
      <x:c r="Q32" s="47" t="str">
        <x:v>n=4, p-state; spot orientation m=-1; spin polarity -0.5.</x:v>
      </x:c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 t="str">
        <x:v>Q032</x:v>
      </x:c>
      <x:c r="B33" s="47" t="n">
        <x:v>4</x:v>
      </x:c>
      <x:c r="C33" s="47" t="n">
        <x:v>1</x:v>
      </x:c>
      <x:c r="D33" s="47" t="str">
        <x:v>p</x:v>
      </x:c>
      <x:c r="E33" s="47" t="n">
        <x:v>-1</x:v>
      </x:c>
      <x:c r="F33" s="47" t="n">
        <x:v>0.5</x:v>
      </x:c>
      <x:c r="G33" s="47" t="n">
        <x:v>6</x:v>
      </x:c>
      <x:c r="H33" s="47" t="n">
        <x:v>4</x:v>
      </x:c>
      <x:c r="I33" s="47" t="n">
        <x:v>0.33</x:v>
      </x:c>
      <x:c r="J33" s="47" t="n">
        <x:v>-1</x:v>
      </x:c>
      <x:c r="K33" s="47" t="n">
        <x:v>1</x:v>
      </x:c>
      <x:c r="L33" s="47" t="n">
        <x:v>30</x:v>
      </x:c>
      <x:c r="M33" s="47" t="n">
        <x:v>56.7</x:v>
      </x:c>
      <x:c r="N33" s="47" t="str">
        <x:v>Archer direction / dumbbell spot</x:v>
      </x:c>
      <x:c r="O33" s="47" t="str">
        <x:v>ᛏ△</x:v>
      </x:c>
      <x:c r="P33" s="47" t="str">
        <x:v>REPAIR</x:v>
      </x:c>
      <x:c r="Q33" s="47" t="str">
        <x:v>n=4, p-state; spot orientation m=-1; spin polarity +0.5.</x:v>
      </x:c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 t="str">
        <x:v>Q033</x:v>
      </x:c>
      <x:c r="B34" s="47" t="n">
        <x:v>4</x:v>
      </x:c>
      <x:c r="C34" s="47" t="n">
        <x:v>1</x:v>
      </x:c>
      <x:c r="D34" s="47" t="str">
        <x:v>p</x:v>
      </x:c>
      <x:c r="E34" s="47" t="n">
        <x:v>0</x:v>
      </x:c>
      <x:c r="F34" s="47" t="n">
        <x:v>-0.5</x:v>
      </x:c>
      <x:c r="G34" s="47" t="n">
        <x:v>6</x:v>
      </x:c>
      <x:c r="H34" s="47" t="n">
        <x:v>4</x:v>
      </x:c>
      <x:c r="I34" s="47" t="n">
        <x:v>0.33</x:v>
      </x:c>
      <x:c r="J34" s="47" t="n">
        <x:v>0</x:v>
      </x:c>
      <x:c r="K34" s="47" t="n">
        <x:v>-1</x:v>
      </x:c>
      <x:c r="L34" s="47" t="n">
        <x:v>24</x:v>
      </x:c>
      <x:c r="M34" s="47" t="n">
        <x:v>63</x:v>
      </x:c>
      <x:c r="N34" s="47" t="str">
        <x:v>Archer direction / dumbbell spot</x:v>
      </x:c>
      <x:c r="O34" s="47" t="str">
        <x:v>ᛏ△</x:v>
      </x:c>
      <x:c r="P34" s="47" t="str">
        <x:v>ASK</x:v>
      </x:c>
      <x:c r="Q34" s="47" t="str">
        <x:v>n=4, p-state; spot orientation m=0; spin polarity -0.5.</x:v>
      </x:c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 t="str">
        <x:v>Q034</x:v>
      </x:c>
      <x:c r="B35" s="47" t="n">
        <x:v>4</x:v>
      </x:c>
      <x:c r="C35" s="47" t="n">
        <x:v>1</x:v>
      </x:c>
      <x:c r="D35" s="47" t="str">
        <x:v>p</x:v>
      </x:c>
      <x:c r="E35" s="47" t="n">
        <x:v>0</x:v>
      </x:c>
      <x:c r="F35" s="47" t="n">
        <x:v>0.5</x:v>
      </x:c>
      <x:c r="G35" s="47" t="n">
        <x:v>6</x:v>
      </x:c>
      <x:c r="H35" s="47" t="n">
        <x:v>4</x:v>
      </x:c>
      <x:c r="I35" s="47" t="n">
        <x:v>0.33</x:v>
      </x:c>
      <x:c r="J35" s="47" t="n">
        <x:v>0</x:v>
      </x:c>
      <x:c r="K35" s="47" t="n">
        <x:v>1</x:v>
      </x:c>
      <x:c r="L35" s="47" t="n">
        <x:v>20</x:v>
      </x:c>
      <x:c r="M35" s="47" t="n">
        <x:v>63</x:v>
      </x:c>
      <x:c r="N35" s="47" t="str">
        <x:v>Archer direction / dumbbell spot</x:v>
      </x:c>
      <x:c r="O35" s="47" t="str">
        <x:v>ᛏ△</x:v>
      </x:c>
      <x:c r="P35" s="47" t="str">
        <x:v>ASK</x:v>
      </x:c>
      <x:c r="Q35" s="47" t="str">
        <x:v>n=4, p-state; spot orientation m=0; spin polarity +0.5.</x:v>
      </x:c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 t="str">
        <x:v>Q035</x:v>
      </x:c>
      <x:c r="B36" s="47" t="n">
        <x:v>4</x:v>
      </x:c>
      <x:c r="C36" s="47" t="n">
        <x:v>1</x:v>
      </x:c>
      <x:c r="D36" s="47" t="str">
        <x:v>p</x:v>
      </x:c>
      <x:c r="E36" s="47" t="n">
        <x:v>1</x:v>
      </x:c>
      <x:c r="F36" s="47" t="n">
        <x:v>-0.5</x:v>
      </x:c>
      <x:c r="G36" s="47" t="n">
        <x:v>6</x:v>
      </x:c>
      <x:c r="H36" s="47" t="n">
        <x:v>4</x:v>
      </x:c>
      <x:c r="I36" s="47" t="n">
        <x:v>0.33</x:v>
      </x:c>
      <x:c r="J36" s="47" t="n">
        <x:v>1</x:v>
      </x:c>
      <x:c r="K36" s="47" t="n">
        <x:v>-1</x:v>
      </x:c>
      <x:c r="L36" s="47" t="n">
        <x:v>34</x:v>
      </x:c>
      <x:c r="M36" s="47" t="n">
        <x:v>56.7</x:v>
      </x:c>
      <x:c r="N36" s="47" t="str">
        <x:v>Archer direction / dumbbell spot</x:v>
      </x:c>
      <x:c r="O36" s="47" t="str">
        <x:v>ᛏ△</x:v>
      </x:c>
      <x:c r="P36" s="47" t="str">
        <x:v>REPAIR</x:v>
      </x:c>
      <x:c r="Q36" s="47" t="str">
        <x:v>n=4, p-state; spot orientation m=1; spin polarity -0.5.</x:v>
      </x:c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 t="str">
        <x:v>Q036</x:v>
      </x:c>
      <x:c r="B37" s="47" t="n">
        <x:v>4</x:v>
      </x:c>
      <x:c r="C37" s="47" t="n">
        <x:v>1</x:v>
      </x:c>
      <x:c r="D37" s="47" t="str">
        <x:v>p</x:v>
      </x:c>
      <x:c r="E37" s="47" t="n">
        <x:v>1</x:v>
      </x:c>
      <x:c r="F37" s="47" t="n">
        <x:v>0.5</x:v>
      </x:c>
      <x:c r="G37" s="47" t="n">
        <x:v>6</x:v>
      </x:c>
      <x:c r="H37" s="47" t="n">
        <x:v>4</x:v>
      </x:c>
      <x:c r="I37" s="47" t="n">
        <x:v>0.33</x:v>
      </x:c>
      <x:c r="J37" s="47" t="n">
        <x:v>1</x:v>
      </x:c>
      <x:c r="K37" s="47" t="n">
        <x:v>1</x:v>
      </x:c>
      <x:c r="L37" s="47" t="n">
        <x:v>30</x:v>
      </x:c>
      <x:c r="M37" s="47" t="n">
        <x:v>56.7</x:v>
      </x:c>
      <x:c r="N37" s="47" t="str">
        <x:v>Archer direction / dumbbell spot</x:v>
      </x:c>
      <x:c r="O37" s="47" t="str">
        <x:v>ᛏ△</x:v>
      </x:c>
      <x:c r="P37" s="47" t="str">
        <x:v>REPAIR</x:v>
      </x:c>
      <x:c r="Q37" s="47" t="str">
        <x:v>n=4, p-state; spot orientation m=1; spin polarity +0.5.</x:v>
      </x:c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 t="str">
        <x:v>Q037</x:v>
      </x:c>
      <x:c r="B38" s="47" t="n">
        <x:v>4</x:v>
      </x:c>
      <x:c r="C38" s="47" t="n">
        <x:v>2</x:v>
      </x:c>
      <x:c r="D38" s="47" t="str">
        <x:v>d</x:v>
      </x:c>
      <x:c r="E38" s="47" t="n">
        <x:v>-2</x:v>
      </x:c>
      <x:c r="F38" s="47" t="n">
        <x:v>-0.5</x:v>
      </x:c>
      <x:c r="G38" s="47" t="n">
        <x:v>10</x:v>
      </x:c>
      <x:c r="H38" s="47" t="n">
        <x:v>4</x:v>
      </x:c>
      <x:c r="I38" s="47" t="n">
        <x:v>0.67</x:v>
      </x:c>
      <x:c r="J38" s="47" t="n">
        <x:v>-1</x:v>
      </x:c>
      <x:c r="K38" s="47" t="n">
        <x:v>-1</x:v>
      </x:c>
      <x:c r="L38" s="47" t="n">
        <x:v>64</x:v>
      </x:c>
      <x:c r="M38" s="47" t="n">
        <x:v>42.5</x:v>
      </x:c>
      <x:c r="N38" s="47" t="str">
        <x:v>Engineer lattice / complex spot</x:v>
      </x:c>
      <x:c r="O38" s="47" t="str">
        <x:v>□◉</x:v>
      </x:c>
      <x:c r="P38" s="47" t="str">
        <x:v>HOLD</x:v>
      </x:c>
      <x:c r="Q38" s="47" t="str">
        <x:v>n=4, d-state; spot orientation m=-2; spin polarity -0.5.</x:v>
      </x:c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 t="str">
        <x:v>Q038</x:v>
      </x:c>
      <x:c r="B39" s="47" t="n">
        <x:v>4</x:v>
      </x:c>
      <x:c r="C39" s="47" t="n">
        <x:v>2</x:v>
      </x:c>
      <x:c r="D39" s="47" t="str">
        <x:v>d</x:v>
      </x:c>
      <x:c r="E39" s="47" t="n">
        <x:v>-2</x:v>
      </x:c>
      <x:c r="F39" s="47" t="n">
        <x:v>0.5</x:v>
      </x:c>
      <x:c r="G39" s="47" t="n">
        <x:v>10</x:v>
      </x:c>
      <x:c r="H39" s="47" t="n">
        <x:v>4</x:v>
      </x:c>
      <x:c r="I39" s="47" t="n">
        <x:v>0.67</x:v>
      </x:c>
      <x:c r="J39" s="47" t="n">
        <x:v>-1</x:v>
      </x:c>
      <x:c r="K39" s="47" t="n">
        <x:v>1</x:v>
      </x:c>
      <x:c r="L39" s="47" t="n">
        <x:v>60</x:v>
      </x:c>
      <x:c r="M39" s="47" t="n">
        <x:v>42.5</x:v>
      </x:c>
      <x:c r="N39" s="47" t="str">
        <x:v>Engineer lattice / complex spot</x:v>
      </x:c>
      <x:c r="O39" s="47" t="str">
        <x:v>□◉</x:v>
      </x:c>
      <x:c r="P39" s="47" t="str">
        <x:v>HOLD</x:v>
      </x:c>
      <x:c r="Q39" s="47" t="str">
        <x:v>n=4, d-state; spot orientation m=-2; spin polarity +0.5.</x:v>
      </x:c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 t="str">
        <x:v>Q039</x:v>
      </x:c>
      <x:c r="B40" s="47" t="n">
        <x:v>4</x:v>
      </x:c>
      <x:c r="C40" s="47" t="n">
        <x:v>2</x:v>
      </x:c>
      <x:c r="D40" s="47" t="str">
        <x:v>d</x:v>
      </x:c>
      <x:c r="E40" s="47" t="n">
        <x:v>-1</x:v>
      </x:c>
      <x:c r="F40" s="47" t="n">
        <x:v>-0.5</x:v>
      </x:c>
      <x:c r="G40" s="47" t="n">
        <x:v>10</x:v>
      </x:c>
      <x:c r="H40" s="47" t="n">
        <x:v>4</x:v>
      </x:c>
      <x:c r="I40" s="47" t="n">
        <x:v>0.67</x:v>
      </x:c>
      <x:c r="J40" s="47" t="n">
        <x:v>-0.5</x:v>
      </x:c>
      <x:c r="K40" s="47" t="n">
        <x:v>-1</x:v>
      </x:c>
      <x:c r="L40" s="47" t="n">
        <x:v>54</x:v>
      </x:c>
      <x:c r="M40" s="47" t="n">
        <x:v>45.9</x:v>
      </x:c>
      <x:c r="N40" s="47" t="str">
        <x:v>Engineer lattice / complex spot</x:v>
      </x:c>
      <x:c r="O40" s="47" t="str">
        <x:v>□◉</x:v>
      </x:c>
      <x:c r="P40" s="47" t="str">
        <x:v>HOLD</x:v>
      </x:c>
      <x:c r="Q40" s="47" t="str">
        <x:v>n=4, d-state; spot orientation m=-1; spin polarity -0.5.</x:v>
      </x:c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 t="str">
        <x:v>Q040</x:v>
      </x:c>
      <x:c r="B41" s="47" t="n">
        <x:v>4</x:v>
      </x:c>
      <x:c r="C41" s="47" t="n">
        <x:v>2</x:v>
      </x:c>
      <x:c r="D41" s="47" t="str">
        <x:v>d</x:v>
      </x:c>
      <x:c r="E41" s="47" t="n">
        <x:v>-1</x:v>
      </x:c>
      <x:c r="F41" s="47" t="n">
        <x:v>0.5</x:v>
      </x:c>
      <x:c r="G41" s="47" t="n">
        <x:v>10</x:v>
      </x:c>
      <x:c r="H41" s="47" t="n">
        <x:v>4</x:v>
      </x:c>
      <x:c r="I41" s="47" t="n">
        <x:v>0.67</x:v>
      </x:c>
      <x:c r="J41" s="47" t="n">
        <x:v>-0.5</x:v>
      </x:c>
      <x:c r="K41" s="47" t="n">
        <x:v>1</x:v>
      </x:c>
      <x:c r="L41" s="47" t="n">
        <x:v>50</x:v>
      </x:c>
      <x:c r="M41" s="47" t="n">
        <x:v>45.9</x:v>
      </x:c>
      <x:c r="N41" s="47" t="str">
        <x:v>Engineer lattice / complex spot</x:v>
      </x:c>
      <x:c r="O41" s="47" t="str">
        <x:v>□◉</x:v>
      </x:c>
      <x:c r="P41" s="47" t="str">
        <x:v>HOLD</x:v>
      </x:c>
      <x:c r="Q41" s="47" t="str">
        <x:v>n=4, d-state; spot orientation m=-1; spin polarity +0.5.</x:v>
      </x:c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 t="str">
        <x:v>Q041</x:v>
      </x:c>
      <x:c r="B42" s="47" t="n">
        <x:v>4</x:v>
      </x:c>
      <x:c r="C42" s="47" t="n">
        <x:v>2</x:v>
      </x:c>
      <x:c r="D42" s="47" t="str">
        <x:v>d</x:v>
      </x:c>
      <x:c r="E42" s="47" t="n">
        <x:v>0</x:v>
      </x:c>
      <x:c r="F42" s="47" t="n">
        <x:v>-0.5</x:v>
      </x:c>
      <x:c r="G42" s="47" t="n">
        <x:v>10</x:v>
      </x:c>
      <x:c r="H42" s="47" t="n">
        <x:v>4</x:v>
      </x:c>
      <x:c r="I42" s="47" t="n">
        <x:v>0.67</x:v>
      </x:c>
      <x:c r="J42" s="47" t="n">
        <x:v>0</x:v>
      </x:c>
      <x:c r="K42" s="47" t="n">
        <x:v>-1</x:v>
      </x:c>
      <x:c r="L42" s="47" t="n">
        <x:v>44</x:v>
      </x:c>
      <x:c r="M42" s="47" t="n">
        <x:v>50</x:v>
      </x:c>
      <x:c r="N42" s="47" t="str">
        <x:v>Engineer lattice / complex spot</x:v>
      </x:c>
      <x:c r="O42" s="47" t="str">
        <x:v>□◉</x:v>
      </x:c>
      <x:c r="P42" s="47" t="str">
        <x:v>HOLD</x:v>
      </x:c>
      <x:c r="Q42" s="47" t="str">
        <x:v>n=4, d-state; spot orientation m=0; spin polarity -0.5.</x:v>
      </x:c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 t="str">
        <x:v>Q042</x:v>
      </x:c>
      <x:c r="B43" s="47" t="n">
        <x:v>4</x:v>
      </x:c>
      <x:c r="C43" s="47" t="n">
        <x:v>2</x:v>
      </x:c>
      <x:c r="D43" s="47" t="str">
        <x:v>d</x:v>
      </x:c>
      <x:c r="E43" s="47" t="n">
        <x:v>0</x:v>
      </x:c>
      <x:c r="F43" s="47" t="n">
        <x:v>0.5</x:v>
      </x:c>
      <x:c r="G43" s="47" t="n">
        <x:v>10</x:v>
      </x:c>
      <x:c r="H43" s="47" t="n">
        <x:v>4</x:v>
      </x:c>
      <x:c r="I43" s="47" t="n">
        <x:v>0.67</x:v>
      </x:c>
      <x:c r="J43" s="47" t="n">
        <x:v>0</x:v>
      </x:c>
      <x:c r="K43" s="47" t="n">
        <x:v>1</x:v>
      </x:c>
      <x:c r="L43" s="47" t="n">
        <x:v>40</x:v>
      </x:c>
      <x:c r="M43" s="47" t="n">
        <x:v>50</x:v>
      </x:c>
      <x:c r="N43" s="47" t="str">
        <x:v>Engineer lattice / complex spot</x:v>
      </x:c>
      <x:c r="O43" s="47" t="str">
        <x:v>□◉</x:v>
      </x:c>
      <x:c r="P43" s="47" t="str">
        <x:v>REPAIR</x:v>
      </x:c>
      <x:c r="Q43" s="47" t="str">
        <x:v>n=4, d-state; spot orientation m=0; spin polarity +0.5.</x:v>
      </x:c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 t="str">
        <x:v>Q043</x:v>
      </x:c>
      <x:c r="B44" s="47" t="n">
        <x:v>4</x:v>
      </x:c>
      <x:c r="C44" s="47" t="n">
        <x:v>2</x:v>
      </x:c>
      <x:c r="D44" s="47" t="str">
        <x:v>d</x:v>
      </x:c>
      <x:c r="E44" s="47" t="n">
        <x:v>1</x:v>
      </x:c>
      <x:c r="F44" s="47" t="n">
        <x:v>-0.5</x:v>
      </x:c>
      <x:c r="G44" s="47" t="n">
        <x:v>10</x:v>
      </x:c>
      <x:c r="H44" s="47" t="n">
        <x:v>4</x:v>
      </x:c>
      <x:c r="I44" s="47" t="n">
        <x:v>0.67</x:v>
      </x:c>
      <x:c r="J44" s="47" t="n">
        <x:v>0.5</x:v>
      </x:c>
      <x:c r="K44" s="47" t="n">
        <x:v>-1</x:v>
      </x:c>
      <x:c r="L44" s="47" t="n">
        <x:v>54</x:v>
      </x:c>
      <x:c r="M44" s="47" t="n">
        <x:v>45.9</x:v>
      </x:c>
      <x:c r="N44" s="47" t="str">
        <x:v>Engineer lattice / complex spot</x:v>
      </x:c>
      <x:c r="O44" s="47" t="str">
        <x:v>□◉</x:v>
      </x:c>
      <x:c r="P44" s="47" t="str">
        <x:v>HOLD</x:v>
      </x:c>
      <x:c r="Q44" s="47" t="str">
        <x:v>n=4, d-state; spot orientation m=1; spin polarity -0.5.</x:v>
      </x:c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 t="str">
        <x:v>Q044</x:v>
      </x:c>
      <x:c r="B45" s="47" t="n">
        <x:v>4</x:v>
      </x:c>
      <x:c r="C45" s="47" t="n">
        <x:v>2</x:v>
      </x:c>
      <x:c r="D45" s="47" t="str">
        <x:v>d</x:v>
      </x:c>
      <x:c r="E45" s="47" t="n">
        <x:v>1</x:v>
      </x:c>
      <x:c r="F45" s="47" t="n">
        <x:v>0.5</x:v>
      </x:c>
      <x:c r="G45" s="47" t="n">
        <x:v>10</x:v>
      </x:c>
      <x:c r="H45" s="47" t="n">
        <x:v>4</x:v>
      </x:c>
      <x:c r="I45" s="47" t="n">
        <x:v>0.67</x:v>
      </x:c>
      <x:c r="J45" s="47" t="n">
        <x:v>0.5</x:v>
      </x:c>
      <x:c r="K45" s="47" t="n">
        <x:v>1</x:v>
      </x:c>
      <x:c r="L45" s="47" t="n">
        <x:v>50</x:v>
      </x:c>
      <x:c r="M45" s="47" t="n">
        <x:v>45.9</x:v>
      </x:c>
      <x:c r="N45" s="47" t="str">
        <x:v>Engineer lattice / complex spot</x:v>
      </x:c>
      <x:c r="O45" s="47" t="str">
        <x:v>□◉</x:v>
      </x:c>
      <x:c r="P45" s="47" t="str">
        <x:v>HOLD</x:v>
      </x:c>
      <x:c r="Q45" s="47" t="str">
        <x:v>n=4, d-state; spot orientation m=1; spin polarity +0.5.</x:v>
      </x:c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 t="str">
        <x:v>Q045</x:v>
      </x:c>
      <x:c r="B46" s="47" t="n">
        <x:v>4</x:v>
      </x:c>
      <x:c r="C46" s="47" t="n">
        <x:v>2</x:v>
      </x:c>
      <x:c r="D46" s="47" t="str">
        <x:v>d</x:v>
      </x:c>
      <x:c r="E46" s="47" t="n">
        <x:v>2</x:v>
      </x:c>
      <x:c r="F46" s="47" t="n">
        <x:v>-0.5</x:v>
      </x:c>
      <x:c r="G46" s="47" t="n">
        <x:v>10</x:v>
      </x:c>
      <x:c r="H46" s="47" t="n">
        <x:v>4</x:v>
      </x:c>
      <x:c r="I46" s="47" t="n">
        <x:v>0.67</x:v>
      </x:c>
      <x:c r="J46" s="47" t="n">
        <x:v>1</x:v>
      </x:c>
      <x:c r="K46" s="47" t="n">
        <x:v>-1</x:v>
      </x:c>
      <x:c r="L46" s="47" t="n">
        <x:v>64</x:v>
      </x:c>
      <x:c r="M46" s="47" t="n">
        <x:v>42.5</x:v>
      </x:c>
      <x:c r="N46" s="47" t="str">
        <x:v>Engineer lattice / complex spot</x:v>
      </x:c>
      <x:c r="O46" s="47" t="str">
        <x:v>□◉</x:v>
      </x:c>
      <x:c r="P46" s="47" t="str">
        <x:v>HOLD</x:v>
      </x:c>
      <x:c r="Q46" s="47" t="str">
        <x:v>n=4, d-state; spot orientation m=2; spin polarity -0.5.</x:v>
      </x:c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 t="str">
        <x:v>Q046</x:v>
      </x:c>
      <x:c r="B47" s="47" t="n">
        <x:v>4</x:v>
      </x:c>
      <x:c r="C47" s="47" t="n">
        <x:v>2</x:v>
      </x:c>
      <x:c r="D47" s="47" t="str">
        <x:v>d</x:v>
      </x:c>
      <x:c r="E47" s="47" t="n">
        <x:v>2</x:v>
      </x:c>
      <x:c r="F47" s="47" t="n">
        <x:v>0.5</x:v>
      </x:c>
      <x:c r="G47" s="47" t="n">
        <x:v>10</x:v>
      </x:c>
      <x:c r="H47" s="47" t="n">
        <x:v>4</x:v>
      </x:c>
      <x:c r="I47" s="47" t="n">
        <x:v>0.67</x:v>
      </x:c>
      <x:c r="J47" s="47" t="n">
        <x:v>1</x:v>
      </x:c>
      <x:c r="K47" s="47" t="n">
        <x:v>1</x:v>
      </x:c>
      <x:c r="L47" s="47" t="n">
        <x:v>60</x:v>
      </x:c>
      <x:c r="M47" s="47" t="n">
        <x:v>42.5</x:v>
      </x:c>
      <x:c r="N47" s="47" t="str">
        <x:v>Engineer lattice / complex spot</x:v>
      </x:c>
      <x:c r="O47" s="47" t="str">
        <x:v>□◉</x:v>
      </x:c>
      <x:c r="P47" s="47" t="str">
        <x:v>HOLD</x:v>
      </x:c>
      <x:c r="Q47" s="47" t="str">
        <x:v>n=4, d-state; spot orientation m=2; spin polarity +0.5.</x:v>
      </x:c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 t="str">
        <x:v>Q047</x:v>
      </x:c>
      <x:c r="B48" s="47" t="n">
        <x:v>4</x:v>
      </x:c>
      <x:c r="C48" s="47" t="n">
        <x:v>3</x:v>
      </x:c>
      <x:c r="D48" s="47" t="str">
        <x:v>f</x:v>
      </x:c>
      <x:c r="E48" s="47" t="n">
        <x:v>-3</x:v>
      </x:c>
      <x:c r="F48" s="47" t="n">
        <x:v>-0.5</x:v>
      </x:c>
      <x:c r="G48" s="47" t="n">
        <x:v>14</x:v>
      </x:c>
      <x:c r="H48" s="47" t="n">
        <x:v>4</x:v>
      </x:c>
      <x:c r="I48" s="47" t="n">
        <x:v>1</x:v>
      </x:c>
      <x:c r="J48" s="47" t="n">
        <x:v>-1</x:v>
      </x:c>
      <x:c r="K48" s="47" t="n">
        <x:v>-1</x:v>
      </x:c>
      <x:c r="L48" s="47" t="n">
        <x:v>94</x:v>
      </x:c>
      <x:c r="M48" s="47" t="n">
        <x:v>34</x:v>
      </x:c>
      <x:c r="N48" s="47" t="str">
        <x:v>Shadow-rich high complexity</x:v>
      </x:c>
      <x:c r="O48" s="47" t="str">
        <x:v>∅◎</x:v>
      </x:c>
      <x:c r="P48" s="47" t="str">
        <x:v>HOLD</x:v>
      </x:c>
      <x:c r="Q48" s="47" t="str">
        <x:v>n=4, f-state; spot orientation m=-3; spin polarity -0.5.</x:v>
      </x:c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 t="str">
        <x:v>Q048</x:v>
      </x:c>
      <x:c r="B49" s="47" t="n">
        <x:v>4</x:v>
      </x:c>
      <x:c r="C49" s="47" t="n">
        <x:v>3</x:v>
      </x:c>
      <x:c r="D49" s="47" t="str">
        <x:v>f</x:v>
      </x:c>
      <x:c r="E49" s="47" t="n">
        <x:v>-3</x:v>
      </x:c>
      <x:c r="F49" s="47" t="n">
        <x:v>0.5</x:v>
      </x:c>
      <x:c r="G49" s="47" t="n">
        <x:v>14</x:v>
      </x:c>
      <x:c r="H49" s="47" t="n">
        <x:v>4</x:v>
      </x:c>
      <x:c r="I49" s="47" t="n">
        <x:v>1</x:v>
      </x:c>
      <x:c r="J49" s="47" t="n">
        <x:v>-1</x:v>
      </x:c>
      <x:c r="K49" s="47" t="n">
        <x:v>1</x:v>
      </x:c>
      <x:c r="L49" s="47" t="n">
        <x:v>90</x:v>
      </x:c>
      <x:c r="M49" s="47" t="n">
        <x:v>34</x:v>
      </x:c>
      <x:c r="N49" s="47" t="str">
        <x:v>Shadow-rich high complexity</x:v>
      </x:c>
      <x:c r="O49" s="47" t="str">
        <x:v>∅◎</x:v>
      </x:c>
      <x:c r="P49" s="47" t="str">
        <x:v>HOLD</x:v>
      </x:c>
      <x:c r="Q49" s="47" t="str">
        <x:v>n=4, f-state; spot orientation m=-3; spin polarity +0.5.</x:v>
      </x:c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 t="str">
        <x:v>Q049</x:v>
      </x:c>
      <x:c r="B50" s="47" t="n">
        <x:v>4</x:v>
      </x:c>
      <x:c r="C50" s="47" t="n">
        <x:v>3</x:v>
      </x:c>
      <x:c r="D50" s="47" t="str">
        <x:v>f</x:v>
      </x:c>
      <x:c r="E50" s="47" t="n">
        <x:v>-2</x:v>
      </x:c>
      <x:c r="F50" s="47" t="n">
        <x:v>-0.5</x:v>
      </x:c>
      <x:c r="G50" s="47" t="n">
        <x:v>14</x:v>
      </x:c>
      <x:c r="H50" s="47" t="n">
        <x:v>4</x:v>
      </x:c>
      <x:c r="I50" s="47" t="n">
        <x:v>1</x:v>
      </x:c>
      <x:c r="J50" s="47" t="n">
        <x:v>-0.67</x:v>
      </x:c>
      <x:c r="K50" s="47" t="n">
        <x:v>-1</x:v>
      </x:c>
      <x:c r="L50" s="47" t="n">
        <x:v>84</x:v>
      </x:c>
      <x:c r="M50" s="47" t="n">
        <x:v>36.2</x:v>
      </x:c>
      <x:c r="N50" s="47" t="str">
        <x:v>Shadow-rich high complexity</x:v>
      </x:c>
      <x:c r="O50" s="47" t="str">
        <x:v>∅◎</x:v>
      </x:c>
      <x:c r="P50" s="47" t="str">
        <x:v>HOLD</x:v>
      </x:c>
      <x:c r="Q50" s="47" t="str">
        <x:v>n=4, f-state; spot orientation m=-2; spin polarity -0.5.</x:v>
      </x:c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 t="str">
        <x:v>Q050</x:v>
      </x:c>
      <x:c r="B51" s="47" t="n">
        <x:v>4</x:v>
      </x:c>
      <x:c r="C51" s="47" t="n">
        <x:v>3</x:v>
      </x:c>
      <x:c r="D51" s="47" t="str">
        <x:v>f</x:v>
      </x:c>
      <x:c r="E51" s="47" t="n">
        <x:v>-2</x:v>
      </x:c>
      <x:c r="F51" s="47" t="n">
        <x:v>0.5</x:v>
      </x:c>
      <x:c r="G51" s="47" t="n">
        <x:v>14</x:v>
      </x:c>
      <x:c r="H51" s="47" t="n">
        <x:v>4</x:v>
      </x:c>
      <x:c r="I51" s="47" t="n">
        <x:v>1</x:v>
      </x:c>
      <x:c r="J51" s="47" t="n">
        <x:v>-0.67</x:v>
      </x:c>
      <x:c r="K51" s="47" t="n">
        <x:v>1</x:v>
      </x:c>
      <x:c r="L51" s="47" t="n">
        <x:v>80</x:v>
      </x:c>
      <x:c r="M51" s="47" t="n">
        <x:v>36.2</x:v>
      </x:c>
      <x:c r="N51" s="47" t="str">
        <x:v>Shadow-rich high complexity</x:v>
      </x:c>
      <x:c r="O51" s="47" t="str">
        <x:v>∅◎</x:v>
      </x:c>
      <x:c r="P51" s="47" t="str">
        <x:v>HOLD</x:v>
      </x:c>
      <x:c r="Q51" s="47" t="str">
        <x:v>n=4, f-state; spot orientation m=-2; spin polarity +0.5.</x:v>
      </x:c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 t="str">
        <x:v>Q051</x:v>
      </x:c>
      <x:c r="B52" s="47" t="n">
        <x:v>4</x:v>
      </x:c>
      <x:c r="C52" s="47" t="n">
        <x:v>3</x:v>
      </x:c>
      <x:c r="D52" s="47" t="str">
        <x:v>f</x:v>
      </x:c>
      <x:c r="E52" s="47" t="n">
        <x:v>-1</x:v>
      </x:c>
      <x:c r="F52" s="47" t="n">
        <x:v>-0.5</x:v>
      </x:c>
      <x:c r="G52" s="47" t="n">
        <x:v>14</x:v>
      </x:c>
      <x:c r="H52" s="47" t="n">
        <x:v>4</x:v>
      </x:c>
      <x:c r="I52" s="47" t="n">
        <x:v>1</x:v>
      </x:c>
      <x:c r="J52" s="47" t="n">
        <x:v>-0.33</x:v>
      </x:c>
      <x:c r="K52" s="47" t="n">
        <x:v>-1</x:v>
      </x:c>
      <x:c r="L52" s="47" t="n">
        <x:v>74</x:v>
      </x:c>
      <x:c r="M52" s="47" t="n">
        <x:v>38.6</x:v>
      </x:c>
      <x:c r="N52" s="47" t="str">
        <x:v>Shadow-rich high complexity</x:v>
      </x:c>
      <x:c r="O52" s="47" t="str">
        <x:v>∅◎</x:v>
      </x:c>
      <x:c r="P52" s="47" t="str">
        <x:v>HOLD</x:v>
      </x:c>
      <x:c r="Q52" s="47" t="str">
        <x:v>n=4, f-state; spot orientation m=-1; spin polarity -0.5.</x:v>
      </x:c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 t="str">
        <x:v>Q052</x:v>
      </x:c>
      <x:c r="B53" s="47" t="n">
        <x:v>4</x:v>
      </x:c>
      <x:c r="C53" s="47" t="n">
        <x:v>3</x:v>
      </x:c>
      <x:c r="D53" s="47" t="str">
        <x:v>f</x:v>
      </x:c>
      <x:c r="E53" s="47" t="n">
        <x:v>-1</x:v>
      </x:c>
      <x:c r="F53" s="47" t="n">
        <x:v>0.5</x:v>
      </x:c>
      <x:c r="G53" s="47" t="n">
        <x:v>14</x:v>
      </x:c>
      <x:c r="H53" s="47" t="n">
        <x:v>4</x:v>
      </x:c>
      <x:c r="I53" s="47" t="n">
        <x:v>1</x:v>
      </x:c>
      <x:c r="J53" s="47" t="n">
        <x:v>-0.33</x:v>
      </x:c>
      <x:c r="K53" s="47" t="n">
        <x:v>1</x:v>
      </x:c>
      <x:c r="L53" s="47" t="n">
        <x:v>70</x:v>
      </x:c>
      <x:c r="M53" s="47" t="n">
        <x:v>38.6</x:v>
      </x:c>
      <x:c r="N53" s="47" t="str">
        <x:v>Shadow-rich high complexity</x:v>
      </x:c>
      <x:c r="O53" s="47" t="str">
        <x:v>∅◎</x:v>
      </x:c>
      <x:c r="P53" s="47" t="str">
        <x:v>HOLD</x:v>
      </x:c>
      <x:c r="Q53" s="47" t="str">
        <x:v>n=4, f-state; spot orientation m=-1; spin polarity +0.5.</x:v>
      </x:c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 t="str">
        <x:v>Q053</x:v>
      </x:c>
      <x:c r="B54" s="47" t="n">
        <x:v>4</x:v>
      </x:c>
      <x:c r="C54" s="47" t="n">
        <x:v>3</x:v>
      </x:c>
      <x:c r="D54" s="47" t="str">
        <x:v>f</x:v>
      </x:c>
      <x:c r="E54" s="47" t="n">
        <x:v>0</x:v>
      </x:c>
      <x:c r="F54" s="47" t="n">
        <x:v>-0.5</x:v>
      </x:c>
      <x:c r="G54" s="47" t="n">
        <x:v>14</x:v>
      </x:c>
      <x:c r="H54" s="47" t="n">
        <x:v>4</x:v>
      </x:c>
      <x:c r="I54" s="47" t="n">
        <x:v>1</x:v>
      </x:c>
      <x:c r="J54" s="47" t="n">
        <x:v>0</x:v>
      </x:c>
      <x:c r="K54" s="47" t="n">
        <x:v>-1</x:v>
      </x:c>
      <x:c r="L54" s="47" t="n">
        <x:v>64</x:v>
      </x:c>
      <x:c r="M54" s="47" t="n">
        <x:v>41.5</x:v>
      </x:c>
      <x:c r="N54" s="47" t="str">
        <x:v>Shadow-rich high complexity</x:v>
      </x:c>
      <x:c r="O54" s="47" t="str">
        <x:v>∅◎</x:v>
      </x:c>
      <x:c r="P54" s="47" t="str">
        <x:v>HOLD</x:v>
      </x:c>
      <x:c r="Q54" s="47" t="str">
        <x:v>n=4, f-state; spot orientation m=0; spin polarity -0.5.</x:v>
      </x:c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 t="str">
        <x:v>Q054</x:v>
      </x:c>
      <x:c r="B55" s="47" t="n">
        <x:v>4</x:v>
      </x:c>
      <x:c r="C55" s="47" t="n">
        <x:v>3</x:v>
      </x:c>
      <x:c r="D55" s="47" t="str">
        <x:v>f</x:v>
      </x:c>
      <x:c r="E55" s="47" t="n">
        <x:v>0</x:v>
      </x:c>
      <x:c r="F55" s="47" t="n">
        <x:v>0.5</x:v>
      </x:c>
      <x:c r="G55" s="47" t="n">
        <x:v>14</x:v>
      </x:c>
      <x:c r="H55" s="47" t="n">
        <x:v>4</x:v>
      </x:c>
      <x:c r="I55" s="47" t="n">
        <x:v>1</x:v>
      </x:c>
      <x:c r="J55" s="47" t="n">
        <x:v>0</x:v>
      </x:c>
      <x:c r="K55" s="47" t="n">
        <x:v>1</x:v>
      </x:c>
      <x:c r="L55" s="47" t="n">
        <x:v>60</x:v>
      </x:c>
      <x:c r="M55" s="47" t="n">
        <x:v>41.5</x:v>
      </x:c>
      <x:c r="N55" s="47" t="str">
        <x:v>Shadow-rich high complexity</x:v>
      </x:c>
      <x:c r="O55" s="47" t="str">
        <x:v>∅◎</x:v>
      </x:c>
      <x:c r="P55" s="47" t="str">
        <x:v>HOLD</x:v>
      </x:c>
      <x:c r="Q55" s="47" t="str">
        <x:v>n=4, f-state; spot orientation m=0; spin polarity +0.5.</x:v>
      </x:c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 t="str">
        <x:v>Q055</x:v>
      </x:c>
      <x:c r="B56" s="47" t="n">
        <x:v>4</x:v>
      </x:c>
      <x:c r="C56" s="47" t="n">
        <x:v>3</x:v>
      </x:c>
      <x:c r="D56" s="47" t="str">
        <x:v>f</x:v>
      </x:c>
      <x:c r="E56" s="47" t="n">
        <x:v>1</x:v>
      </x:c>
      <x:c r="F56" s="47" t="n">
        <x:v>-0.5</x:v>
      </x:c>
      <x:c r="G56" s="47" t="n">
        <x:v>14</x:v>
      </x:c>
      <x:c r="H56" s="47" t="n">
        <x:v>4</x:v>
      </x:c>
      <x:c r="I56" s="47" t="n">
        <x:v>1</x:v>
      </x:c>
      <x:c r="J56" s="47" t="n">
        <x:v>0.33</x:v>
      </x:c>
      <x:c r="K56" s="47" t="n">
        <x:v>-1</x:v>
      </x:c>
      <x:c r="L56" s="47" t="n">
        <x:v>74</x:v>
      </x:c>
      <x:c r="M56" s="47" t="n">
        <x:v>38.6</x:v>
      </x:c>
      <x:c r="N56" s="47" t="str">
        <x:v>Shadow-rich high complexity</x:v>
      </x:c>
      <x:c r="O56" s="47" t="str">
        <x:v>∅◎</x:v>
      </x:c>
      <x:c r="P56" s="47" t="str">
        <x:v>HOLD</x:v>
      </x:c>
      <x:c r="Q56" s="47" t="str">
        <x:v>n=4, f-state; spot orientation m=1; spin polarity -0.5.</x:v>
      </x:c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 t="str">
        <x:v>Q056</x:v>
      </x:c>
      <x:c r="B57" s="47" t="n">
        <x:v>4</x:v>
      </x:c>
      <x:c r="C57" s="47" t="n">
        <x:v>3</x:v>
      </x:c>
      <x:c r="D57" s="47" t="str">
        <x:v>f</x:v>
      </x:c>
      <x:c r="E57" s="47" t="n">
        <x:v>1</x:v>
      </x:c>
      <x:c r="F57" s="47" t="n">
        <x:v>0.5</x:v>
      </x:c>
      <x:c r="G57" s="47" t="n">
        <x:v>14</x:v>
      </x:c>
      <x:c r="H57" s="47" t="n">
        <x:v>4</x:v>
      </x:c>
      <x:c r="I57" s="47" t="n">
        <x:v>1</x:v>
      </x:c>
      <x:c r="J57" s="47" t="n">
        <x:v>0.33</x:v>
      </x:c>
      <x:c r="K57" s="47" t="n">
        <x:v>1</x:v>
      </x:c>
      <x:c r="L57" s="47" t="n">
        <x:v>70</x:v>
      </x:c>
      <x:c r="M57" s="47" t="n">
        <x:v>38.6</x:v>
      </x:c>
      <x:c r="N57" s="47" t="str">
        <x:v>Shadow-rich high complexity</x:v>
      </x:c>
      <x:c r="O57" s="47" t="str">
        <x:v>∅◎</x:v>
      </x:c>
      <x:c r="P57" s="47" t="str">
        <x:v>HOLD</x:v>
      </x:c>
      <x:c r="Q57" s="47" t="str">
        <x:v>n=4, f-state; spot orientation m=1; spin polarity +0.5.</x:v>
      </x:c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 t="str">
        <x:v>Q057</x:v>
      </x:c>
      <x:c r="B58" s="47" t="n">
        <x:v>4</x:v>
      </x:c>
      <x:c r="C58" s="47" t="n">
        <x:v>3</x:v>
      </x:c>
      <x:c r="D58" s="47" t="str">
        <x:v>f</x:v>
      </x:c>
      <x:c r="E58" s="47" t="n">
        <x:v>2</x:v>
      </x:c>
      <x:c r="F58" s="47" t="n">
        <x:v>-0.5</x:v>
      </x:c>
      <x:c r="G58" s="47" t="n">
        <x:v>14</x:v>
      </x:c>
      <x:c r="H58" s="47" t="n">
        <x:v>4</x:v>
      </x:c>
      <x:c r="I58" s="47" t="n">
        <x:v>1</x:v>
      </x:c>
      <x:c r="J58" s="47" t="n">
        <x:v>0.67</x:v>
      </x:c>
      <x:c r="K58" s="47" t="n">
        <x:v>-1</x:v>
      </x:c>
      <x:c r="L58" s="47" t="n">
        <x:v>84</x:v>
      </x:c>
      <x:c r="M58" s="47" t="n">
        <x:v>36.2</x:v>
      </x:c>
      <x:c r="N58" s="47" t="str">
        <x:v>Shadow-rich high complexity</x:v>
      </x:c>
      <x:c r="O58" s="47" t="str">
        <x:v>∅◎</x:v>
      </x:c>
      <x:c r="P58" s="47" t="str">
        <x:v>HOLD</x:v>
      </x:c>
      <x:c r="Q58" s="47" t="str">
        <x:v>n=4, f-state; spot orientation m=2; spin polarity -0.5.</x:v>
      </x:c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 t="str">
        <x:v>Q058</x:v>
      </x:c>
      <x:c r="B59" s="47" t="n">
        <x:v>4</x:v>
      </x:c>
      <x:c r="C59" s="47" t="n">
        <x:v>3</x:v>
      </x:c>
      <x:c r="D59" s="47" t="str">
        <x:v>f</x:v>
      </x:c>
      <x:c r="E59" s="47" t="n">
        <x:v>2</x:v>
      </x:c>
      <x:c r="F59" s="47" t="n">
        <x:v>0.5</x:v>
      </x:c>
      <x:c r="G59" s="47" t="n">
        <x:v>14</x:v>
      </x:c>
      <x:c r="H59" s="47" t="n">
        <x:v>4</x:v>
      </x:c>
      <x:c r="I59" s="47" t="n">
        <x:v>1</x:v>
      </x:c>
      <x:c r="J59" s="47" t="n">
        <x:v>0.67</x:v>
      </x:c>
      <x:c r="K59" s="47" t="n">
        <x:v>1</x:v>
      </x:c>
      <x:c r="L59" s="47" t="n">
        <x:v>80</x:v>
      </x:c>
      <x:c r="M59" s="47" t="n">
        <x:v>36.2</x:v>
      </x:c>
      <x:c r="N59" s="47" t="str">
        <x:v>Shadow-rich high complexity</x:v>
      </x:c>
      <x:c r="O59" s="47" t="str">
        <x:v>∅◎</x:v>
      </x:c>
      <x:c r="P59" s="47" t="str">
        <x:v>HOLD</x:v>
      </x:c>
      <x:c r="Q59" s="47" t="str">
        <x:v>n=4, f-state; spot orientation m=2; spin polarity +0.5.</x:v>
      </x:c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 t="str">
        <x:v>Q059</x:v>
      </x:c>
      <x:c r="B60" s="47" t="n">
        <x:v>4</x:v>
      </x:c>
      <x:c r="C60" s="47" t="n">
        <x:v>3</x:v>
      </x:c>
      <x:c r="D60" s="47" t="str">
        <x:v>f</x:v>
      </x:c>
      <x:c r="E60" s="47" t="n">
        <x:v>3</x:v>
      </x:c>
      <x:c r="F60" s="47" t="n">
        <x:v>-0.5</x:v>
      </x:c>
      <x:c r="G60" s="47" t="n">
        <x:v>14</x:v>
      </x:c>
      <x:c r="H60" s="47" t="n">
        <x:v>4</x:v>
      </x:c>
      <x:c r="I60" s="47" t="n">
        <x:v>1</x:v>
      </x:c>
      <x:c r="J60" s="47" t="n">
        <x:v>1</x:v>
      </x:c>
      <x:c r="K60" s="47" t="n">
        <x:v>-1</x:v>
      </x:c>
      <x:c r="L60" s="47" t="n">
        <x:v>94</x:v>
      </x:c>
      <x:c r="M60" s="47" t="n">
        <x:v>34</x:v>
      </x:c>
      <x:c r="N60" s="47" t="str">
        <x:v>Shadow-rich high complexity</x:v>
      </x:c>
      <x:c r="O60" s="47" t="str">
        <x:v>∅◎</x:v>
      </x:c>
      <x:c r="P60" s="47" t="str">
        <x:v>HOLD</x:v>
      </x:c>
      <x:c r="Q60" s="47" t="str">
        <x:v>n=4, f-state; spot orientation m=3; spin polarity -0.5.</x:v>
      </x:c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 t="str">
        <x:v>Q060</x:v>
      </x:c>
      <x:c r="B61" s="47" t="n">
        <x:v>4</x:v>
      </x:c>
      <x:c r="C61" s="47" t="n">
        <x:v>3</x:v>
      </x:c>
      <x:c r="D61" s="47" t="str">
        <x:v>f</x:v>
      </x:c>
      <x:c r="E61" s="47" t="n">
        <x:v>3</x:v>
      </x:c>
      <x:c r="F61" s="47" t="n">
        <x:v>0.5</x:v>
      </x:c>
      <x:c r="G61" s="47" t="n">
        <x:v>14</x:v>
      </x:c>
      <x:c r="H61" s="47" t="n">
        <x:v>4</x:v>
      </x:c>
      <x:c r="I61" s="47" t="n">
        <x:v>1</x:v>
      </x:c>
      <x:c r="J61" s="47" t="n">
        <x:v>1</x:v>
      </x:c>
      <x:c r="K61" s="47" t="n">
        <x:v>1</x:v>
      </x:c>
      <x:c r="L61" s="47" t="n">
        <x:v>90</x:v>
      </x:c>
      <x:c r="M61" s="47" t="n">
        <x:v>34</x:v>
      </x:c>
      <x:c r="N61" s="47" t="str">
        <x:v>Shadow-rich high complexity</x:v>
      </x:c>
      <x:c r="O61" s="47" t="str">
        <x:v>∅◎</x:v>
      </x:c>
      <x:c r="P61" s="47" t="str">
        <x:v>HOLD</x:v>
      </x:c>
      <x:c r="Q61" s="47" t="str">
        <x:v>n=4, f-state; spot orientation m=3; spin polarity +0.5.</x:v>
      </x:c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 t="str">
        <x:v>Q061</x:v>
      </x:c>
      <x:c r="B62" s="47" t="n">
        <x:v>5</x:v>
      </x:c>
      <x:c r="C62" s="47" t="n">
        <x:v>0</x:v>
      </x:c>
      <x:c r="D62" s="47" t="str">
        <x:v>s</x:v>
      </x:c>
      <x:c r="E62" s="47" t="n">
        <x:v>0</x:v>
      </x:c>
      <x:c r="F62" s="47" t="n">
        <x:v>-0.5</x:v>
      </x:c>
      <x:c r="G62" s="47" t="n">
        <x:v>2</x:v>
      </x:c>
      <x:c r="H62" s="47" t="n">
        <x:v>5</x:v>
      </x:c>
      <x:c r="I62" s="47" t="n">
        <x:v>0</x:v>
      </x:c>
      <x:c r="J62" s="47" t="n">
        <x:v>0</x:v>
      </x:c>
      <x:c r="K62" s="47" t="n">
        <x:v>-1</x:v>
      </x:c>
      <x:c r="L62" s="47" t="n">
        <x:v>4</x:v>
      </x:c>
      <x:c r="M62" s="47" t="n">
        <x:v>85</x:v>
      </x:c>
      <x:c r="N62" s="47" t="str">
        <x:v>Bindu seed / spherical field</x:v>
      </x:c>
      <x:c r="O62" s="47" t="str">
        <x:v>✦◎</x:v>
      </x:c>
      <x:c r="P62" s="47" t="str">
        <x:v>OPEN</x:v>
      </x:c>
      <x:c r="Q62" s="47" t="str">
        <x:v>n=5, s-state; spot orientation m=0; spin polarity -0.5.</x:v>
      </x:c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 t="str">
        <x:v>Q062</x:v>
      </x:c>
      <x:c r="B63" s="47" t="n">
        <x:v>5</x:v>
      </x:c>
      <x:c r="C63" s="47" t="n">
        <x:v>0</x:v>
      </x:c>
      <x:c r="D63" s="47" t="str">
        <x:v>s</x:v>
      </x:c>
      <x:c r="E63" s="47" t="n">
        <x:v>0</x:v>
      </x:c>
      <x:c r="F63" s="47" t="n">
        <x:v>0.5</x:v>
      </x:c>
      <x:c r="G63" s="47" t="n">
        <x:v>2</x:v>
      </x:c>
      <x:c r="H63" s="47" t="n">
        <x:v>5</x:v>
      </x:c>
      <x:c r="I63" s="47" t="n">
        <x:v>0</x:v>
      </x:c>
      <x:c r="J63" s="47" t="n">
        <x:v>0</x:v>
      </x:c>
      <x:c r="K63" s="47" t="n">
        <x:v>1</x:v>
      </x:c>
      <x:c r="L63" s="47" t="n">
        <x:v>0</x:v>
      </x:c>
      <x:c r="M63" s="47" t="n">
        <x:v>85</x:v>
      </x:c>
      <x:c r="N63" s="47" t="str">
        <x:v>Bindu seed / spherical field</x:v>
      </x:c>
      <x:c r="O63" s="47" t="str">
        <x:v>✦◎</x:v>
      </x:c>
      <x:c r="P63" s="47" t="str">
        <x:v>OPEN</x:v>
      </x:c>
      <x:c r="Q63" s="47" t="str">
        <x:v>n=5, s-state; spot orientation m=0; spin polarity +0.5.</x:v>
      </x:c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 t="str">
        <x:v>Q063</x:v>
      </x:c>
      <x:c r="B64" s="47" t="n">
        <x:v>5</x:v>
      </x:c>
      <x:c r="C64" s="47" t="n">
        <x:v>1</x:v>
      </x:c>
      <x:c r="D64" s="47" t="str">
        <x:v>p</x:v>
      </x:c>
      <x:c r="E64" s="47" t="n">
        <x:v>-1</x:v>
      </x:c>
      <x:c r="F64" s="47" t="n">
        <x:v>-0.5</x:v>
      </x:c>
      <x:c r="G64" s="47" t="n">
        <x:v>6</x:v>
      </x:c>
      <x:c r="H64" s="47" t="n">
        <x:v>5</x:v>
      </x:c>
      <x:c r="I64" s="47" t="n">
        <x:v>0.33</x:v>
      </x:c>
      <x:c r="J64" s="47" t="n">
        <x:v>-1</x:v>
      </x:c>
      <x:c r="K64" s="47" t="n">
        <x:v>-1</x:v>
      </x:c>
      <x:c r="L64" s="47" t="n">
        <x:v>34</x:v>
      </x:c>
      <x:c r="M64" s="47" t="n">
        <x:v>56.7</x:v>
      </x:c>
      <x:c r="N64" s="47" t="str">
        <x:v>Archer direction / dumbbell spot</x:v>
      </x:c>
      <x:c r="O64" s="47" t="str">
        <x:v>ᛏ△</x:v>
      </x:c>
      <x:c r="P64" s="47" t="str">
        <x:v>REPAIR</x:v>
      </x:c>
      <x:c r="Q64" s="47" t="str">
        <x:v>n=5, p-state; spot orientation m=-1; spin polarity -0.5.</x:v>
      </x:c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 t="str">
        <x:v>Q064</x:v>
      </x:c>
      <x:c r="B65" s="47" t="n">
        <x:v>5</x:v>
      </x:c>
      <x:c r="C65" s="47" t="n">
        <x:v>1</x:v>
      </x:c>
      <x:c r="D65" s="47" t="str">
        <x:v>p</x:v>
      </x:c>
      <x:c r="E65" s="47" t="n">
        <x:v>-1</x:v>
      </x:c>
      <x:c r="F65" s="47" t="n">
        <x:v>0.5</x:v>
      </x:c>
      <x:c r="G65" s="47" t="n">
        <x:v>6</x:v>
      </x:c>
      <x:c r="H65" s="47" t="n">
        <x:v>5</x:v>
      </x:c>
      <x:c r="I65" s="47" t="n">
        <x:v>0.33</x:v>
      </x:c>
      <x:c r="J65" s="47" t="n">
        <x:v>-1</x:v>
      </x:c>
      <x:c r="K65" s="47" t="n">
        <x:v>1</x:v>
      </x:c>
      <x:c r="L65" s="47" t="n">
        <x:v>30</x:v>
      </x:c>
      <x:c r="M65" s="47" t="n">
        <x:v>56.7</x:v>
      </x:c>
      <x:c r="N65" s="47" t="str">
        <x:v>Archer direction / dumbbell spot</x:v>
      </x:c>
      <x:c r="O65" s="47" t="str">
        <x:v>ᛏ△</x:v>
      </x:c>
      <x:c r="P65" s="47" t="str">
        <x:v>REPAIR</x:v>
      </x:c>
      <x:c r="Q65" s="47" t="str">
        <x:v>n=5, p-state; spot orientation m=-1; spin polarity +0.5.</x:v>
      </x:c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 t="str">
        <x:v>Q065</x:v>
      </x:c>
      <x:c r="B66" s="47" t="n">
        <x:v>5</x:v>
      </x:c>
      <x:c r="C66" s="47" t="n">
        <x:v>1</x:v>
      </x:c>
      <x:c r="D66" s="47" t="str">
        <x:v>p</x:v>
      </x:c>
      <x:c r="E66" s="47" t="n">
        <x:v>0</x:v>
      </x:c>
      <x:c r="F66" s="47" t="n">
        <x:v>-0.5</x:v>
      </x:c>
      <x:c r="G66" s="47" t="n">
        <x:v>6</x:v>
      </x:c>
      <x:c r="H66" s="47" t="n">
        <x:v>5</x:v>
      </x:c>
      <x:c r="I66" s="47" t="n">
        <x:v>0.33</x:v>
      </x:c>
      <x:c r="J66" s="47" t="n">
        <x:v>0</x:v>
      </x:c>
      <x:c r="K66" s="47" t="n">
        <x:v>-1</x:v>
      </x:c>
      <x:c r="L66" s="47" t="n">
        <x:v>24</x:v>
      </x:c>
      <x:c r="M66" s="47" t="n">
        <x:v>63</x:v>
      </x:c>
      <x:c r="N66" s="47" t="str">
        <x:v>Archer direction / dumbbell spot</x:v>
      </x:c>
      <x:c r="O66" s="47" t="str">
        <x:v>ᛏ△</x:v>
      </x:c>
      <x:c r="P66" s="47" t="str">
        <x:v>ASK</x:v>
      </x:c>
      <x:c r="Q66" s="47" t="str">
        <x:v>n=5, p-state; spot orientation m=0; spin polarity -0.5.</x:v>
      </x:c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 t="str">
        <x:v>Q066</x:v>
      </x:c>
      <x:c r="B67" s="47" t="n">
        <x:v>5</x:v>
      </x:c>
      <x:c r="C67" s="47" t="n">
        <x:v>1</x:v>
      </x:c>
      <x:c r="D67" s="47" t="str">
        <x:v>p</x:v>
      </x:c>
      <x:c r="E67" s="47" t="n">
        <x:v>0</x:v>
      </x:c>
      <x:c r="F67" s="47" t="n">
        <x:v>0.5</x:v>
      </x:c>
      <x:c r="G67" s="47" t="n">
        <x:v>6</x:v>
      </x:c>
      <x:c r="H67" s="47" t="n">
        <x:v>5</x:v>
      </x:c>
      <x:c r="I67" s="47" t="n">
        <x:v>0.33</x:v>
      </x:c>
      <x:c r="J67" s="47" t="n">
        <x:v>0</x:v>
      </x:c>
      <x:c r="K67" s="47" t="n">
        <x:v>1</x:v>
      </x:c>
      <x:c r="L67" s="47" t="n">
        <x:v>20</x:v>
      </x:c>
      <x:c r="M67" s="47" t="n">
        <x:v>63</x:v>
      </x:c>
      <x:c r="N67" s="47" t="str">
        <x:v>Archer direction / dumbbell spot</x:v>
      </x:c>
      <x:c r="O67" s="47" t="str">
        <x:v>ᛏ△</x:v>
      </x:c>
      <x:c r="P67" s="47" t="str">
        <x:v>ASK</x:v>
      </x:c>
      <x:c r="Q67" s="47" t="str">
        <x:v>n=5, p-state; spot orientation m=0; spin polarity +0.5.</x:v>
      </x:c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 t="str">
        <x:v>Q067</x:v>
      </x:c>
      <x:c r="B68" s="47" t="n">
        <x:v>5</x:v>
      </x:c>
      <x:c r="C68" s="47" t="n">
        <x:v>1</x:v>
      </x:c>
      <x:c r="D68" s="47" t="str">
        <x:v>p</x:v>
      </x:c>
      <x:c r="E68" s="47" t="n">
        <x:v>1</x:v>
      </x:c>
      <x:c r="F68" s="47" t="n">
        <x:v>-0.5</x:v>
      </x:c>
      <x:c r="G68" s="47" t="n">
        <x:v>6</x:v>
      </x:c>
      <x:c r="H68" s="47" t="n">
        <x:v>5</x:v>
      </x:c>
      <x:c r="I68" s="47" t="n">
        <x:v>0.33</x:v>
      </x:c>
      <x:c r="J68" s="47" t="n">
        <x:v>1</x:v>
      </x:c>
      <x:c r="K68" s="47" t="n">
        <x:v>-1</x:v>
      </x:c>
      <x:c r="L68" s="47" t="n">
        <x:v>34</x:v>
      </x:c>
      <x:c r="M68" s="47" t="n">
        <x:v>56.7</x:v>
      </x:c>
      <x:c r="N68" s="47" t="str">
        <x:v>Archer direction / dumbbell spot</x:v>
      </x:c>
      <x:c r="O68" s="47" t="str">
        <x:v>ᛏ△</x:v>
      </x:c>
      <x:c r="P68" s="47" t="str">
        <x:v>REPAIR</x:v>
      </x:c>
      <x:c r="Q68" s="47" t="str">
        <x:v>n=5, p-state; spot orientation m=1; spin polarity -0.5.</x:v>
      </x:c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 t="str">
        <x:v>Q068</x:v>
      </x:c>
      <x:c r="B69" s="47" t="n">
        <x:v>5</x:v>
      </x:c>
      <x:c r="C69" s="47" t="n">
        <x:v>1</x:v>
      </x:c>
      <x:c r="D69" s="47" t="str">
        <x:v>p</x:v>
      </x:c>
      <x:c r="E69" s="47" t="n">
        <x:v>1</x:v>
      </x:c>
      <x:c r="F69" s="47" t="n">
        <x:v>0.5</x:v>
      </x:c>
      <x:c r="G69" s="47" t="n">
        <x:v>6</x:v>
      </x:c>
      <x:c r="H69" s="47" t="n">
        <x:v>5</x:v>
      </x:c>
      <x:c r="I69" s="47" t="n">
        <x:v>0.33</x:v>
      </x:c>
      <x:c r="J69" s="47" t="n">
        <x:v>1</x:v>
      </x:c>
      <x:c r="K69" s="47" t="n">
        <x:v>1</x:v>
      </x:c>
      <x:c r="L69" s="47" t="n">
        <x:v>30</x:v>
      </x:c>
      <x:c r="M69" s="47" t="n">
        <x:v>56.7</x:v>
      </x:c>
      <x:c r="N69" s="47" t="str">
        <x:v>Archer direction / dumbbell spot</x:v>
      </x:c>
      <x:c r="O69" s="47" t="str">
        <x:v>ᛏ△</x:v>
      </x:c>
      <x:c r="P69" s="47" t="str">
        <x:v>REPAIR</x:v>
      </x:c>
      <x:c r="Q69" s="47" t="str">
        <x:v>n=5, p-state; spot orientation m=1; spin polarity +0.5.</x:v>
      </x:c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 t="str">
        <x:v>Q069</x:v>
      </x:c>
      <x:c r="B70" s="47" t="n">
        <x:v>5</x:v>
      </x:c>
      <x:c r="C70" s="47" t="n">
        <x:v>2</x:v>
      </x:c>
      <x:c r="D70" s="47" t="str">
        <x:v>d</x:v>
      </x:c>
      <x:c r="E70" s="47" t="n">
        <x:v>-2</x:v>
      </x:c>
      <x:c r="F70" s="47" t="n">
        <x:v>-0.5</x:v>
      </x:c>
      <x:c r="G70" s="47" t="n">
        <x:v>10</x:v>
      </x:c>
      <x:c r="H70" s="47" t="n">
        <x:v>5</x:v>
      </x:c>
      <x:c r="I70" s="47" t="n">
        <x:v>0.67</x:v>
      </x:c>
      <x:c r="J70" s="47" t="n">
        <x:v>-1</x:v>
      </x:c>
      <x:c r="K70" s="47" t="n">
        <x:v>-1</x:v>
      </x:c>
      <x:c r="L70" s="47" t="n">
        <x:v>64</x:v>
      </x:c>
      <x:c r="M70" s="47" t="n">
        <x:v>42.5</x:v>
      </x:c>
      <x:c r="N70" s="47" t="str">
        <x:v>Engineer lattice / complex spot</x:v>
      </x:c>
      <x:c r="O70" s="47" t="str">
        <x:v>□◉</x:v>
      </x:c>
      <x:c r="P70" s="47" t="str">
        <x:v>HOLD</x:v>
      </x:c>
      <x:c r="Q70" s="47" t="str">
        <x:v>n=5, d-state; spot orientation m=-2; spin polarity -0.5.</x:v>
      </x:c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 t="str">
        <x:v>Q070</x:v>
      </x:c>
      <x:c r="B71" s="47" t="n">
        <x:v>5</x:v>
      </x:c>
      <x:c r="C71" s="47" t="n">
        <x:v>2</x:v>
      </x:c>
      <x:c r="D71" s="47" t="str">
        <x:v>d</x:v>
      </x:c>
      <x:c r="E71" s="47" t="n">
        <x:v>-2</x:v>
      </x:c>
      <x:c r="F71" s="47" t="n">
        <x:v>0.5</x:v>
      </x:c>
      <x:c r="G71" s="47" t="n">
        <x:v>10</x:v>
      </x:c>
      <x:c r="H71" s="47" t="n">
        <x:v>5</x:v>
      </x:c>
      <x:c r="I71" s="47" t="n">
        <x:v>0.67</x:v>
      </x:c>
      <x:c r="J71" s="47" t="n">
        <x:v>-1</x:v>
      </x:c>
      <x:c r="K71" s="47" t="n">
        <x:v>1</x:v>
      </x:c>
      <x:c r="L71" s="47" t="n">
        <x:v>60</x:v>
      </x:c>
      <x:c r="M71" s="47" t="n">
        <x:v>42.5</x:v>
      </x:c>
      <x:c r="N71" s="47" t="str">
        <x:v>Engineer lattice / complex spot</x:v>
      </x:c>
      <x:c r="O71" s="47" t="str">
        <x:v>□◉</x:v>
      </x:c>
      <x:c r="P71" s="47" t="str">
        <x:v>HOLD</x:v>
      </x:c>
      <x:c r="Q71" s="47" t="str">
        <x:v>n=5, d-state; spot orientation m=-2; spin polarity +0.5.</x:v>
      </x:c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 t="str">
        <x:v>Q071</x:v>
      </x:c>
      <x:c r="B72" s="47" t="n">
        <x:v>5</x:v>
      </x:c>
      <x:c r="C72" s="47" t="n">
        <x:v>2</x:v>
      </x:c>
      <x:c r="D72" s="47" t="str">
        <x:v>d</x:v>
      </x:c>
      <x:c r="E72" s="47" t="n">
        <x:v>-1</x:v>
      </x:c>
      <x:c r="F72" s="47" t="n">
        <x:v>-0.5</x:v>
      </x:c>
      <x:c r="G72" s="47" t="n">
        <x:v>10</x:v>
      </x:c>
      <x:c r="H72" s="47" t="n">
        <x:v>5</x:v>
      </x:c>
      <x:c r="I72" s="47" t="n">
        <x:v>0.67</x:v>
      </x:c>
      <x:c r="J72" s="47" t="n">
        <x:v>-0.5</x:v>
      </x:c>
      <x:c r="K72" s="47" t="n">
        <x:v>-1</x:v>
      </x:c>
      <x:c r="L72" s="47" t="n">
        <x:v>54</x:v>
      </x:c>
      <x:c r="M72" s="47" t="n">
        <x:v>45.9</x:v>
      </x:c>
      <x:c r="N72" s="47" t="str">
        <x:v>Engineer lattice / complex spot</x:v>
      </x:c>
      <x:c r="O72" s="47" t="str">
        <x:v>□◉</x:v>
      </x:c>
      <x:c r="P72" s="47" t="str">
        <x:v>HOLD</x:v>
      </x:c>
      <x:c r="Q72" s="47" t="str">
        <x:v>n=5, d-state; spot orientation m=-1; spin polarity -0.5.</x:v>
      </x:c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 t="str">
        <x:v>Q072</x:v>
      </x:c>
      <x:c r="B73" s="47" t="n">
        <x:v>5</x:v>
      </x:c>
      <x:c r="C73" s="47" t="n">
        <x:v>2</x:v>
      </x:c>
      <x:c r="D73" s="47" t="str">
        <x:v>d</x:v>
      </x:c>
      <x:c r="E73" s="47" t="n">
        <x:v>-1</x:v>
      </x:c>
      <x:c r="F73" s="47" t="n">
        <x:v>0.5</x:v>
      </x:c>
      <x:c r="G73" s="47" t="n">
        <x:v>10</x:v>
      </x:c>
      <x:c r="H73" s="47" t="n">
        <x:v>5</x:v>
      </x:c>
      <x:c r="I73" s="47" t="n">
        <x:v>0.67</x:v>
      </x:c>
      <x:c r="J73" s="47" t="n">
        <x:v>-0.5</x:v>
      </x:c>
      <x:c r="K73" s="47" t="n">
        <x:v>1</x:v>
      </x:c>
      <x:c r="L73" s="47" t="n">
        <x:v>50</x:v>
      </x:c>
      <x:c r="M73" s="47" t="n">
        <x:v>45.9</x:v>
      </x:c>
      <x:c r="N73" s="47" t="str">
        <x:v>Engineer lattice / complex spot</x:v>
      </x:c>
      <x:c r="O73" s="47" t="str">
        <x:v>□◉</x:v>
      </x:c>
      <x:c r="P73" s="47" t="str">
        <x:v>HOLD</x:v>
      </x:c>
      <x:c r="Q73" s="47" t="str">
        <x:v>n=5, d-state; spot orientation m=-1; spin polarity +0.5.</x:v>
      </x:c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 t="str">
        <x:v>Q073</x:v>
      </x:c>
      <x:c r="B74" s="47" t="n">
        <x:v>5</x:v>
      </x:c>
      <x:c r="C74" s="47" t="n">
        <x:v>2</x:v>
      </x:c>
      <x:c r="D74" s="47" t="str">
        <x:v>d</x:v>
      </x:c>
      <x:c r="E74" s="47" t="n">
        <x:v>0</x:v>
      </x:c>
      <x:c r="F74" s="47" t="n">
        <x:v>-0.5</x:v>
      </x:c>
      <x:c r="G74" s="47" t="n">
        <x:v>10</x:v>
      </x:c>
      <x:c r="H74" s="47" t="n">
        <x:v>5</x:v>
      </x:c>
      <x:c r="I74" s="47" t="n">
        <x:v>0.67</x:v>
      </x:c>
      <x:c r="J74" s="47" t="n">
        <x:v>0</x:v>
      </x:c>
      <x:c r="K74" s="47" t="n">
        <x:v>-1</x:v>
      </x:c>
      <x:c r="L74" s="47" t="n">
        <x:v>44</x:v>
      </x:c>
      <x:c r="M74" s="47" t="n">
        <x:v>50</x:v>
      </x:c>
      <x:c r="N74" s="47" t="str">
        <x:v>Engineer lattice / complex spot</x:v>
      </x:c>
      <x:c r="O74" s="47" t="str">
        <x:v>□◉</x:v>
      </x:c>
      <x:c r="P74" s="47" t="str">
        <x:v>HOLD</x:v>
      </x:c>
      <x:c r="Q74" s="47" t="str">
        <x:v>n=5, d-state; spot orientation m=0; spin polarity -0.5.</x:v>
      </x:c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 t="str">
        <x:v>Q074</x:v>
      </x:c>
      <x:c r="B75" s="47" t="n">
        <x:v>5</x:v>
      </x:c>
      <x:c r="C75" s="47" t="n">
        <x:v>2</x:v>
      </x:c>
      <x:c r="D75" s="47" t="str">
        <x:v>d</x:v>
      </x:c>
      <x:c r="E75" s="47" t="n">
        <x:v>0</x:v>
      </x:c>
      <x:c r="F75" s="47" t="n">
        <x:v>0.5</x:v>
      </x:c>
      <x:c r="G75" s="47" t="n">
        <x:v>10</x:v>
      </x:c>
      <x:c r="H75" s="47" t="n">
        <x:v>5</x:v>
      </x:c>
      <x:c r="I75" s="47" t="n">
        <x:v>0.67</x:v>
      </x:c>
      <x:c r="J75" s="47" t="n">
        <x:v>0</x:v>
      </x:c>
      <x:c r="K75" s="47" t="n">
        <x:v>1</x:v>
      </x:c>
      <x:c r="L75" s="47" t="n">
        <x:v>40</x:v>
      </x:c>
      <x:c r="M75" s="47" t="n">
        <x:v>50</x:v>
      </x:c>
      <x:c r="N75" s="47" t="str">
        <x:v>Engineer lattice / complex spot</x:v>
      </x:c>
      <x:c r="O75" s="47" t="str">
        <x:v>□◉</x:v>
      </x:c>
      <x:c r="P75" s="47" t="str">
        <x:v>REPAIR</x:v>
      </x:c>
      <x:c r="Q75" s="47" t="str">
        <x:v>n=5, d-state; spot orientation m=0; spin polarity +0.5.</x:v>
      </x:c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 t="str">
        <x:v>Q075</x:v>
      </x:c>
      <x:c r="B76" s="47" t="n">
        <x:v>5</x:v>
      </x:c>
      <x:c r="C76" s="47" t="n">
        <x:v>2</x:v>
      </x:c>
      <x:c r="D76" s="47" t="str">
        <x:v>d</x:v>
      </x:c>
      <x:c r="E76" s="47" t="n">
        <x:v>1</x:v>
      </x:c>
      <x:c r="F76" s="47" t="n">
        <x:v>-0.5</x:v>
      </x:c>
      <x:c r="G76" s="47" t="n">
        <x:v>10</x:v>
      </x:c>
      <x:c r="H76" s="47" t="n">
        <x:v>5</x:v>
      </x:c>
      <x:c r="I76" s="47" t="n">
        <x:v>0.67</x:v>
      </x:c>
      <x:c r="J76" s="47" t="n">
        <x:v>0.5</x:v>
      </x:c>
      <x:c r="K76" s="47" t="n">
        <x:v>-1</x:v>
      </x:c>
      <x:c r="L76" s="47" t="n">
        <x:v>54</x:v>
      </x:c>
      <x:c r="M76" s="47" t="n">
        <x:v>45.9</x:v>
      </x:c>
      <x:c r="N76" s="47" t="str">
        <x:v>Engineer lattice / complex spot</x:v>
      </x:c>
      <x:c r="O76" s="47" t="str">
        <x:v>□◉</x:v>
      </x:c>
      <x:c r="P76" s="47" t="str">
        <x:v>HOLD</x:v>
      </x:c>
      <x:c r="Q76" s="47" t="str">
        <x:v>n=5, d-state; spot orientation m=1; spin polarity -0.5.</x:v>
      </x:c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 t="str">
        <x:v>Q076</x:v>
      </x:c>
      <x:c r="B77" s="47" t="n">
        <x:v>5</x:v>
      </x:c>
      <x:c r="C77" s="47" t="n">
        <x:v>2</x:v>
      </x:c>
      <x:c r="D77" s="47" t="str">
        <x:v>d</x:v>
      </x:c>
      <x:c r="E77" s="47" t="n">
        <x:v>1</x:v>
      </x:c>
      <x:c r="F77" s="47" t="n">
        <x:v>0.5</x:v>
      </x:c>
      <x:c r="G77" s="47" t="n">
        <x:v>10</x:v>
      </x:c>
      <x:c r="H77" s="47" t="n">
        <x:v>5</x:v>
      </x:c>
      <x:c r="I77" s="47" t="n">
        <x:v>0.67</x:v>
      </x:c>
      <x:c r="J77" s="47" t="n">
        <x:v>0.5</x:v>
      </x:c>
      <x:c r="K77" s="47" t="n">
        <x:v>1</x:v>
      </x:c>
      <x:c r="L77" s="47" t="n">
        <x:v>50</x:v>
      </x:c>
      <x:c r="M77" s="47" t="n">
        <x:v>45.9</x:v>
      </x:c>
      <x:c r="N77" s="47" t="str">
        <x:v>Engineer lattice / complex spot</x:v>
      </x:c>
      <x:c r="O77" s="47" t="str">
        <x:v>□◉</x:v>
      </x:c>
      <x:c r="P77" s="47" t="str">
        <x:v>HOLD</x:v>
      </x:c>
      <x:c r="Q77" s="47" t="str">
        <x:v>n=5, d-state; spot orientation m=1; spin polarity +0.5.</x:v>
      </x:c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 t="str">
        <x:v>Q077</x:v>
      </x:c>
      <x:c r="B78" s="47" t="n">
        <x:v>5</x:v>
      </x:c>
      <x:c r="C78" s="47" t="n">
        <x:v>2</x:v>
      </x:c>
      <x:c r="D78" s="47" t="str">
        <x:v>d</x:v>
      </x:c>
      <x:c r="E78" s="47" t="n">
        <x:v>2</x:v>
      </x:c>
      <x:c r="F78" s="47" t="n">
        <x:v>-0.5</x:v>
      </x:c>
      <x:c r="G78" s="47" t="n">
        <x:v>10</x:v>
      </x:c>
      <x:c r="H78" s="47" t="n">
        <x:v>5</x:v>
      </x:c>
      <x:c r="I78" s="47" t="n">
        <x:v>0.67</x:v>
      </x:c>
      <x:c r="J78" s="47" t="n">
        <x:v>1</x:v>
      </x:c>
      <x:c r="K78" s="47" t="n">
        <x:v>-1</x:v>
      </x:c>
      <x:c r="L78" s="47" t="n">
        <x:v>64</x:v>
      </x:c>
      <x:c r="M78" s="47" t="n">
        <x:v>42.5</x:v>
      </x:c>
      <x:c r="N78" s="47" t="str">
        <x:v>Engineer lattice / complex spot</x:v>
      </x:c>
      <x:c r="O78" s="47" t="str">
        <x:v>□◉</x:v>
      </x:c>
      <x:c r="P78" s="47" t="str">
        <x:v>HOLD</x:v>
      </x:c>
      <x:c r="Q78" s="47" t="str">
        <x:v>n=5, d-state; spot orientation m=2; spin polarity -0.5.</x:v>
      </x:c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 t="str">
        <x:v>Q078</x:v>
      </x:c>
      <x:c r="B79" s="47" t="n">
        <x:v>5</x:v>
      </x:c>
      <x:c r="C79" s="47" t="n">
        <x:v>2</x:v>
      </x:c>
      <x:c r="D79" s="47" t="str">
        <x:v>d</x:v>
      </x:c>
      <x:c r="E79" s="47" t="n">
        <x:v>2</x:v>
      </x:c>
      <x:c r="F79" s="47" t="n">
        <x:v>0.5</x:v>
      </x:c>
      <x:c r="G79" s="47" t="n">
        <x:v>10</x:v>
      </x:c>
      <x:c r="H79" s="47" t="n">
        <x:v>5</x:v>
      </x:c>
      <x:c r="I79" s="47" t="n">
        <x:v>0.67</x:v>
      </x:c>
      <x:c r="J79" s="47" t="n">
        <x:v>1</x:v>
      </x:c>
      <x:c r="K79" s="47" t="n">
        <x:v>1</x:v>
      </x:c>
      <x:c r="L79" s="47" t="n">
        <x:v>60</x:v>
      </x:c>
      <x:c r="M79" s="47" t="n">
        <x:v>42.5</x:v>
      </x:c>
      <x:c r="N79" s="47" t="str">
        <x:v>Engineer lattice / complex spot</x:v>
      </x:c>
      <x:c r="O79" s="47" t="str">
        <x:v>□◉</x:v>
      </x:c>
      <x:c r="P79" s="47" t="str">
        <x:v>HOLD</x:v>
      </x:c>
      <x:c r="Q79" s="47" t="str">
        <x:v>n=5, d-state; spot orientation m=2; spin polarity +0.5.</x:v>
      </x:c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 t="str">
        <x:v>Q079</x:v>
      </x:c>
      <x:c r="B80" s="47" t="n">
        <x:v>5</x:v>
      </x:c>
      <x:c r="C80" s="47" t="n">
        <x:v>3</x:v>
      </x:c>
      <x:c r="D80" s="47" t="str">
        <x:v>f</x:v>
      </x:c>
      <x:c r="E80" s="47" t="n">
        <x:v>-3</x:v>
      </x:c>
      <x:c r="F80" s="47" t="n">
        <x:v>-0.5</x:v>
      </x:c>
      <x:c r="G80" s="47" t="n">
        <x:v>14</x:v>
      </x:c>
      <x:c r="H80" s="47" t="n">
        <x:v>5</x:v>
      </x:c>
      <x:c r="I80" s="47" t="n">
        <x:v>1</x:v>
      </x:c>
      <x:c r="J80" s="47" t="n">
        <x:v>-1</x:v>
      </x:c>
      <x:c r="K80" s="47" t="n">
        <x:v>-1</x:v>
      </x:c>
      <x:c r="L80" s="47" t="n">
        <x:v>94</x:v>
      </x:c>
      <x:c r="M80" s="47" t="n">
        <x:v>34</x:v>
      </x:c>
      <x:c r="N80" s="47" t="str">
        <x:v>Shadow-rich high complexity</x:v>
      </x:c>
      <x:c r="O80" s="47" t="str">
        <x:v>∅◎</x:v>
      </x:c>
      <x:c r="P80" s="47" t="str">
        <x:v>HOLD</x:v>
      </x:c>
      <x:c r="Q80" s="47" t="str">
        <x:v>n=5, f-state; spot orientation m=-3; spin polarity -0.5.</x:v>
      </x:c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 t="str">
        <x:v>Q080</x:v>
      </x:c>
      <x:c r="B81" s="47" t="n">
        <x:v>5</x:v>
      </x:c>
      <x:c r="C81" s="47" t="n">
        <x:v>3</x:v>
      </x:c>
      <x:c r="D81" s="47" t="str">
        <x:v>f</x:v>
      </x:c>
      <x:c r="E81" s="47" t="n">
        <x:v>-3</x:v>
      </x:c>
      <x:c r="F81" s="47" t="n">
        <x:v>0.5</x:v>
      </x:c>
      <x:c r="G81" s="47" t="n">
        <x:v>14</x:v>
      </x:c>
      <x:c r="H81" s="47" t="n">
        <x:v>5</x:v>
      </x:c>
      <x:c r="I81" s="47" t="n">
        <x:v>1</x:v>
      </x:c>
      <x:c r="J81" s="47" t="n">
        <x:v>-1</x:v>
      </x:c>
      <x:c r="K81" s="47" t="n">
        <x:v>1</x:v>
      </x:c>
      <x:c r="L81" s="47" t="n">
        <x:v>90</x:v>
      </x:c>
      <x:c r="M81" s="47" t="n">
        <x:v>34</x:v>
      </x:c>
      <x:c r="N81" s="47" t="str">
        <x:v>Shadow-rich high complexity</x:v>
      </x:c>
      <x:c r="O81" s="47" t="str">
        <x:v>∅◎</x:v>
      </x:c>
      <x:c r="P81" s="47" t="str">
        <x:v>HOLD</x:v>
      </x:c>
      <x:c r="Q81" s="47" t="str">
        <x:v>n=5, f-state; spot orientation m=-3; spin polarity +0.5.</x:v>
      </x:c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 t="str">
        <x:v>Q081</x:v>
      </x:c>
      <x:c r="B82" s="47" t="n">
        <x:v>5</x:v>
      </x:c>
      <x:c r="C82" s="47" t="n">
        <x:v>3</x:v>
      </x:c>
      <x:c r="D82" s="47" t="str">
        <x:v>f</x:v>
      </x:c>
      <x:c r="E82" s="47" t="n">
        <x:v>-2</x:v>
      </x:c>
      <x:c r="F82" s="47" t="n">
        <x:v>-0.5</x:v>
      </x:c>
      <x:c r="G82" s="47" t="n">
        <x:v>14</x:v>
      </x:c>
      <x:c r="H82" s="47" t="n">
        <x:v>5</x:v>
      </x:c>
      <x:c r="I82" s="47" t="n">
        <x:v>1</x:v>
      </x:c>
      <x:c r="J82" s="47" t="n">
        <x:v>-0.67</x:v>
      </x:c>
      <x:c r="K82" s="47" t="n">
        <x:v>-1</x:v>
      </x:c>
      <x:c r="L82" s="47" t="n">
        <x:v>84</x:v>
      </x:c>
      <x:c r="M82" s="47" t="n">
        <x:v>36.2</x:v>
      </x:c>
      <x:c r="N82" s="47" t="str">
        <x:v>Shadow-rich high complexity</x:v>
      </x:c>
      <x:c r="O82" s="47" t="str">
        <x:v>∅◎</x:v>
      </x:c>
      <x:c r="P82" s="47" t="str">
        <x:v>HOLD</x:v>
      </x:c>
      <x:c r="Q82" s="47" t="str">
        <x:v>n=5, f-state; spot orientation m=-2; spin polarity -0.5.</x:v>
      </x:c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 t="str">
        <x:v>Q082</x:v>
      </x:c>
      <x:c r="B83" s="47" t="n">
        <x:v>5</x:v>
      </x:c>
      <x:c r="C83" s="47" t="n">
        <x:v>3</x:v>
      </x:c>
      <x:c r="D83" s="47" t="str">
        <x:v>f</x:v>
      </x:c>
      <x:c r="E83" s="47" t="n">
        <x:v>-2</x:v>
      </x:c>
      <x:c r="F83" s="47" t="n">
        <x:v>0.5</x:v>
      </x:c>
      <x:c r="G83" s="47" t="n">
        <x:v>14</x:v>
      </x:c>
      <x:c r="H83" s="47" t="n">
        <x:v>5</x:v>
      </x:c>
      <x:c r="I83" s="47" t="n">
        <x:v>1</x:v>
      </x:c>
      <x:c r="J83" s="47" t="n">
        <x:v>-0.67</x:v>
      </x:c>
      <x:c r="K83" s="47" t="n">
        <x:v>1</x:v>
      </x:c>
      <x:c r="L83" s="47" t="n">
        <x:v>80</x:v>
      </x:c>
      <x:c r="M83" s="47" t="n">
        <x:v>36.2</x:v>
      </x:c>
      <x:c r="N83" s="47" t="str">
        <x:v>Shadow-rich high complexity</x:v>
      </x:c>
      <x:c r="O83" s="47" t="str">
        <x:v>∅◎</x:v>
      </x:c>
      <x:c r="P83" s="47" t="str">
        <x:v>HOLD</x:v>
      </x:c>
      <x:c r="Q83" s="47" t="str">
        <x:v>n=5, f-state; spot orientation m=-2; spin polarity +0.5.</x:v>
      </x:c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 t="str">
        <x:v>Q083</x:v>
      </x:c>
      <x:c r="B84" s="47" t="n">
        <x:v>5</x:v>
      </x:c>
      <x:c r="C84" s="47" t="n">
        <x:v>3</x:v>
      </x:c>
      <x:c r="D84" s="47" t="str">
        <x:v>f</x:v>
      </x:c>
      <x:c r="E84" s="47" t="n">
        <x:v>-1</x:v>
      </x:c>
      <x:c r="F84" s="47" t="n">
        <x:v>-0.5</x:v>
      </x:c>
      <x:c r="G84" s="47" t="n">
        <x:v>14</x:v>
      </x:c>
      <x:c r="H84" s="47" t="n">
        <x:v>5</x:v>
      </x:c>
      <x:c r="I84" s="47" t="n">
        <x:v>1</x:v>
      </x:c>
      <x:c r="J84" s="47" t="n">
        <x:v>-0.33</x:v>
      </x:c>
      <x:c r="K84" s="47" t="n">
        <x:v>-1</x:v>
      </x:c>
      <x:c r="L84" s="47" t="n">
        <x:v>74</x:v>
      </x:c>
      <x:c r="M84" s="47" t="n">
        <x:v>38.6</x:v>
      </x:c>
      <x:c r="N84" s="47" t="str">
        <x:v>Shadow-rich high complexity</x:v>
      </x:c>
      <x:c r="O84" s="47" t="str">
        <x:v>∅◎</x:v>
      </x:c>
      <x:c r="P84" s="47" t="str">
        <x:v>HOLD</x:v>
      </x:c>
      <x:c r="Q84" s="47" t="str">
        <x:v>n=5, f-state; spot orientation m=-1; spin polarity -0.5.</x:v>
      </x:c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 t="str">
        <x:v>Q084</x:v>
      </x:c>
      <x:c r="B85" s="47" t="n">
        <x:v>5</x:v>
      </x:c>
      <x:c r="C85" s="47" t="n">
        <x:v>3</x:v>
      </x:c>
      <x:c r="D85" s="47" t="str">
        <x:v>f</x:v>
      </x:c>
      <x:c r="E85" s="47" t="n">
        <x:v>-1</x:v>
      </x:c>
      <x:c r="F85" s="47" t="n">
        <x:v>0.5</x:v>
      </x:c>
      <x:c r="G85" s="47" t="n">
        <x:v>14</x:v>
      </x:c>
      <x:c r="H85" s="47" t="n">
        <x:v>5</x:v>
      </x:c>
      <x:c r="I85" s="47" t="n">
        <x:v>1</x:v>
      </x:c>
      <x:c r="J85" s="47" t="n">
        <x:v>-0.33</x:v>
      </x:c>
      <x:c r="K85" s="47" t="n">
        <x:v>1</x:v>
      </x:c>
      <x:c r="L85" s="47" t="n">
        <x:v>70</x:v>
      </x:c>
      <x:c r="M85" s="47" t="n">
        <x:v>38.6</x:v>
      </x:c>
      <x:c r="N85" s="47" t="str">
        <x:v>Shadow-rich high complexity</x:v>
      </x:c>
      <x:c r="O85" s="47" t="str">
        <x:v>∅◎</x:v>
      </x:c>
      <x:c r="P85" s="47" t="str">
        <x:v>HOLD</x:v>
      </x:c>
      <x:c r="Q85" s="47" t="str">
        <x:v>n=5, f-state; spot orientation m=-1; spin polarity +0.5.</x:v>
      </x:c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 t="str">
        <x:v>Q085</x:v>
      </x:c>
      <x:c r="B86" s="47" t="n">
        <x:v>5</x:v>
      </x:c>
      <x:c r="C86" s="47" t="n">
        <x:v>3</x:v>
      </x:c>
      <x:c r="D86" s="47" t="str">
        <x:v>f</x:v>
      </x:c>
      <x:c r="E86" s="47" t="n">
        <x:v>0</x:v>
      </x:c>
      <x:c r="F86" s="47" t="n">
        <x:v>-0.5</x:v>
      </x:c>
      <x:c r="G86" s="47" t="n">
        <x:v>14</x:v>
      </x:c>
      <x:c r="H86" s="47" t="n">
        <x:v>5</x:v>
      </x:c>
      <x:c r="I86" s="47" t="n">
        <x:v>1</x:v>
      </x:c>
      <x:c r="J86" s="47" t="n">
        <x:v>0</x:v>
      </x:c>
      <x:c r="K86" s="47" t="n">
        <x:v>-1</x:v>
      </x:c>
      <x:c r="L86" s="47" t="n">
        <x:v>64</x:v>
      </x:c>
      <x:c r="M86" s="47" t="n">
        <x:v>41.5</x:v>
      </x:c>
      <x:c r="N86" s="47" t="str">
        <x:v>Shadow-rich high complexity</x:v>
      </x:c>
      <x:c r="O86" s="47" t="str">
        <x:v>∅◎</x:v>
      </x:c>
      <x:c r="P86" s="47" t="str">
        <x:v>HOLD</x:v>
      </x:c>
      <x:c r="Q86" s="47" t="str">
        <x:v>n=5, f-state; spot orientation m=0; spin polarity -0.5.</x:v>
      </x:c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 t="str">
        <x:v>Q086</x:v>
      </x:c>
      <x:c r="B87" s="47" t="n">
        <x:v>5</x:v>
      </x:c>
      <x:c r="C87" s="47" t="n">
        <x:v>3</x:v>
      </x:c>
      <x:c r="D87" s="47" t="str">
        <x:v>f</x:v>
      </x:c>
      <x:c r="E87" s="47" t="n">
        <x:v>0</x:v>
      </x:c>
      <x:c r="F87" s="47" t="n">
        <x:v>0.5</x:v>
      </x:c>
      <x:c r="G87" s="47" t="n">
        <x:v>14</x:v>
      </x:c>
      <x:c r="H87" s="47" t="n">
        <x:v>5</x:v>
      </x:c>
      <x:c r="I87" s="47" t="n">
        <x:v>1</x:v>
      </x:c>
      <x:c r="J87" s="47" t="n">
        <x:v>0</x:v>
      </x:c>
      <x:c r="K87" s="47" t="n">
        <x:v>1</x:v>
      </x:c>
      <x:c r="L87" s="47" t="n">
        <x:v>60</x:v>
      </x:c>
      <x:c r="M87" s="47" t="n">
        <x:v>41.5</x:v>
      </x:c>
      <x:c r="N87" s="47" t="str">
        <x:v>Shadow-rich high complexity</x:v>
      </x:c>
      <x:c r="O87" s="47" t="str">
        <x:v>∅◎</x:v>
      </x:c>
      <x:c r="P87" s="47" t="str">
        <x:v>HOLD</x:v>
      </x:c>
      <x:c r="Q87" s="47" t="str">
        <x:v>n=5, f-state; spot orientation m=0; spin polarity +0.5.</x:v>
      </x:c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 t="str">
        <x:v>Q087</x:v>
      </x:c>
      <x:c r="B88" s="47" t="n">
        <x:v>5</x:v>
      </x:c>
      <x:c r="C88" s="47" t="n">
        <x:v>3</x:v>
      </x:c>
      <x:c r="D88" s="47" t="str">
        <x:v>f</x:v>
      </x:c>
      <x:c r="E88" s="47" t="n">
        <x:v>1</x:v>
      </x:c>
      <x:c r="F88" s="47" t="n">
        <x:v>-0.5</x:v>
      </x:c>
      <x:c r="G88" s="47" t="n">
        <x:v>14</x:v>
      </x:c>
      <x:c r="H88" s="47" t="n">
        <x:v>5</x:v>
      </x:c>
      <x:c r="I88" s="47" t="n">
        <x:v>1</x:v>
      </x:c>
      <x:c r="J88" s="47" t="n">
        <x:v>0.33</x:v>
      </x:c>
      <x:c r="K88" s="47" t="n">
        <x:v>-1</x:v>
      </x:c>
      <x:c r="L88" s="47" t="n">
        <x:v>74</x:v>
      </x:c>
      <x:c r="M88" s="47" t="n">
        <x:v>38.6</x:v>
      </x:c>
      <x:c r="N88" s="47" t="str">
        <x:v>Shadow-rich high complexity</x:v>
      </x:c>
      <x:c r="O88" s="47" t="str">
        <x:v>∅◎</x:v>
      </x:c>
      <x:c r="P88" s="47" t="str">
        <x:v>HOLD</x:v>
      </x:c>
      <x:c r="Q88" s="47" t="str">
        <x:v>n=5, f-state; spot orientation m=1; spin polarity -0.5.</x:v>
      </x:c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 t="str">
        <x:v>Q088</x:v>
      </x:c>
      <x:c r="B89" s="47" t="n">
        <x:v>5</x:v>
      </x:c>
      <x:c r="C89" s="47" t="n">
        <x:v>3</x:v>
      </x:c>
      <x:c r="D89" s="47" t="str">
        <x:v>f</x:v>
      </x:c>
      <x:c r="E89" s="47" t="n">
        <x:v>1</x:v>
      </x:c>
      <x:c r="F89" s="47" t="n">
        <x:v>0.5</x:v>
      </x:c>
      <x:c r="G89" s="47" t="n">
        <x:v>14</x:v>
      </x:c>
      <x:c r="H89" s="47" t="n">
        <x:v>5</x:v>
      </x:c>
      <x:c r="I89" s="47" t="n">
        <x:v>1</x:v>
      </x:c>
      <x:c r="J89" s="47" t="n">
        <x:v>0.33</x:v>
      </x:c>
      <x:c r="K89" s="47" t="n">
        <x:v>1</x:v>
      </x:c>
      <x:c r="L89" s="47" t="n">
        <x:v>70</x:v>
      </x:c>
      <x:c r="M89" s="47" t="n">
        <x:v>38.6</x:v>
      </x:c>
      <x:c r="N89" s="47" t="str">
        <x:v>Shadow-rich high complexity</x:v>
      </x:c>
      <x:c r="O89" s="47" t="str">
        <x:v>∅◎</x:v>
      </x:c>
      <x:c r="P89" s="47" t="str">
        <x:v>HOLD</x:v>
      </x:c>
      <x:c r="Q89" s="47" t="str">
        <x:v>n=5, f-state; spot orientation m=1; spin polarity +0.5.</x:v>
      </x:c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 t="str">
        <x:v>Q089</x:v>
      </x:c>
      <x:c r="B90" s="47" t="n">
        <x:v>5</x:v>
      </x:c>
      <x:c r="C90" s="47" t="n">
        <x:v>3</x:v>
      </x:c>
      <x:c r="D90" s="47" t="str">
        <x:v>f</x:v>
      </x:c>
      <x:c r="E90" s="47" t="n">
        <x:v>2</x:v>
      </x:c>
      <x:c r="F90" s="47" t="n">
        <x:v>-0.5</x:v>
      </x:c>
      <x:c r="G90" s="47" t="n">
        <x:v>14</x:v>
      </x:c>
      <x:c r="H90" s="47" t="n">
        <x:v>5</x:v>
      </x:c>
      <x:c r="I90" s="47" t="n">
        <x:v>1</x:v>
      </x:c>
      <x:c r="J90" s="47" t="n">
        <x:v>0.67</x:v>
      </x:c>
      <x:c r="K90" s="47" t="n">
        <x:v>-1</x:v>
      </x:c>
      <x:c r="L90" s="47" t="n">
        <x:v>84</x:v>
      </x:c>
      <x:c r="M90" s="47" t="n">
        <x:v>36.2</x:v>
      </x:c>
      <x:c r="N90" s="47" t="str">
        <x:v>Shadow-rich high complexity</x:v>
      </x:c>
      <x:c r="O90" s="47" t="str">
        <x:v>∅◎</x:v>
      </x:c>
      <x:c r="P90" s="47" t="str">
        <x:v>HOLD</x:v>
      </x:c>
      <x:c r="Q90" s="47" t="str">
        <x:v>n=5, f-state; spot orientation m=2; spin polarity -0.5.</x:v>
      </x:c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 t="str">
        <x:v>Q090</x:v>
      </x:c>
      <x:c r="B91" s="47" t="n">
        <x:v>5</x:v>
      </x:c>
      <x:c r="C91" s="47" t="n">
        <x:v>3</x:v>
      </x:c>
      <x:c r="D91" s="47" t="str">
        <x:v>f</x:v>
      </x:c>
      <x:c r="E91" s="47" t="n">
        <x:v>2</x:v>
      </x:c>
      <x:c r="F91" s="47" t="n">
        <x:v>0.5</x:v>
      </x:c>
      <x:c r="G91" s="47" t="n">
        <x:v>14</x:v>
      </x:c>
      <x:c r="H91" s="47" t="n">
        <x:v>5</x:v>
      </x:c>
      <x:c r="I91" s="47" t="n">
        <x:v>1</x:v>
      </x:c>
      <x:c r="J91" s="47" t="n">
        <x:v>0.67</x:v>
      </x:c>
      <x:c r="K91" s="47" t="n">
        <x:v>1</x:v>
      </x:c>
      <x:c r="L91" s="47" t="n">
        <x:v>80</x:v>
      </x:c>
      <x:c r="M91" s="47" t="n">
        <x:v>36.2</x:v>
      </x:c>
      <x:c r="N91" s="47" t="str">
        <x:v>Shadow-rich high complexity</x:v>
      </x:c>
      <x:c r="O91" s="47" t="str">
        <x:v>∅◎</x:v>
      </x:c>
      <x:c r="P91" s="47" t="str">
        <x:v>HOLD</x:v>
      </x:c>
      <x:c r="Q91" s="47" t="str">
        <x:v>n=5, f-state; spot orientation m=2; spin polarity +0.5.</x:v>
      </x:c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 t="str">
        <x:v>Q091</x:v>
      </x:c>
      <x:c r="B92" s="47" t="n">
        <x:v>5</x:v>
      </x:c>
      <x:c r="C92" s="47" t="n">
        <x:v>3</x:v>
      </x:c>
      <x:c r="D92" s="47" t="str">
        <x:v>f</x:v>
      </x:c>
      <x:c r="E92" s="47" t="n">
        <x:v>3</x:v>
      </x:c>
      <x:c r="F92" s="47" t="n">
        <x:v>-0.5</x:v>
      </x:c>
      <x:c r="G92" s="47" t="n">
        <x:v>14</x:v>
      </x:c>
      <x:c r="H92" s="47" t="n">
        <x:v>5</x:v>
      </x:c>
      <x:c r="I92" s="47" t="n">
        <x:v>1</x:v>
      </x:c>
      <x:c r="J92" s="47" t="n">
        <x:v>1</x:v>
      </x:c>
      <x:c r="K92" s="47" t="n">
        <x:v>-1</x:v>
      </x:c>
      <x:c r="L92" s="47" t="n">
        <x:v>94</x:v>
      </x:c>
      <x:c r="M92" s="47" t="n">
        <x:v>34</x:v>
      </x:c>
      <x:c r="N92" s="47" t="str">
        <x:v>Shadow-rich high complexity</x:v>
      </x:c>
      <x:c r="O92" s="47" t="str">
        <x:v>∅◎</x:v>
      </x:c>
      <x:c r="P92" s="47" t="str">
        <x:v>HOLD</x:v>
      </x:c>
      <x:c r="Q92" s="47" t="str">
        <x:v>n=5, f-state; spot orientation m=3; spin polarity -0.5.</x:v>
      </x:c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 t="str">
        <x:v>Q092</x:v>
      </x:c>
      <x:c r="B93" s="47" t="n">
        <x:v>5</x:v>
      </x:c>
      <x:c r="C93" s="47" t="n">
        <x:v>3</x:v>
      </x:c>
      <x:c r="D93" s="47" t="str">
        <x:v>f</x:v>
      </x:c>
      <x:c r="E93" s="47" t="n">
        <x:v>3</x:v>
      </x:c>
      <x:c r="F93" s="47" t="n">
        <x:v>0.5</x:v>
      </x:c>
      <x:c r="G93" s="47" t="n">
        <x:v>14</x:v>
      </x:c>
      <x:c r="H93" s="47" t="n">
        <x:v>5</x:v>
      </x:c>
      <x:c r="I93" s="47" t="n">
        <x:v>1</x:v>
      </x:c>
      <x:c r="J93" s="47" t="n">
        <x:v>1</x:v>
      </x:c>
      <x:c r="K93" s="47" t="n">
        <x:v>1</x:v>
      </x:c>
      <x:c r="L93" s="47" t="n">
        <x:v>90</x:v>
      </x:c>
      <x:c r="M93" s="47" t="n">
        <x:v>34</x:v>
      </x:c>
      <x:c r="N93" s="47" t="str">
        <x:v>Shadow-rich high complexity</x:v>
      </x:c>
      <x:c r="O93" s="47" t="str">
        <x:v>∅◎</x:v>
      </x:c>
      <x:c r="P93" s="47" t="str">
        <x:v>HOLD</x:v>
      </x:c>
      <x:c r="Q93" s="47" t="str">
        <x:v>n=5, f-state; spot orientation m=3; spin polarity +0.5.</x:v>
      </x:c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conditionalFormatting sqref="L2:L93">
    <x:cfRule type="dataBar" priority="1">
      <x:dataBar>
        <x:cfvo type="min"/>
        <x:cfvo type="max"/>
        <x:color rgb="FBBF24"/>
      </x:dataBar>
      <x:extLst>
        <x:ext xmlns:x14="http://schemas.microsoft.com/office/spreadsheetml/2009/9/main" uri="{B025F937-C7B1-47D3-B67F-A62EFF666E3E}">
          <x14:id>{7AF2F5B9-E971-12D1-8CCA-59FE75E95E37}</x14:id>
        </x:ext>
      </x:extLst>
    </x:cfRule>
  </x:conditionalFormatting>
  <x:conditionalFormatting sqref="M2:M93">
    <x:cfRule type="dataBar" priority="2">
      <x:dataBar>
        <x:cfvo type="min"/>
        <x:cfvo type="max"/>
        <x:color rgb="34D399"/>
      </x:dataBar>
      <x:extLst>
        <x:ext xmlns:x14="http://schemas.microsoft.com/office/spreadsheetml/2009/9/main" uri="{B025F937-C7B1-47D3-B67F-A62EFF666E3E}">
          <x14:id>{35F32685-22CB-34F5-DEA6-C7B62D9D9AB2}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607903eb7d240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AF2F5B9-E971-12D1-8CCA-59FE75E95E37}">
            <x14:dataBar gradient="1">
              <x14:cfvo type="min"/>
              <x14:cfvo type="max"/>
              <x14:fillColor rgb="FBBF24"/>
            </x14:dataBar>
          </x14:cfRule>
          <xm:sqref>L2:L93</xm:sqref>
        </x14:conditionalFormatting>
        <x14:conditionalFormatting>
          <x14:cfRule type="dataBar" priority="2" id="{35F32685-22CB-34F5-DEA6-C7B62D9D9AB2}">
            <x14:dataBar gradient="1">
              <x14:cfvo type="min"/>
              <x14:cfvo type="max"/>
              <x14:fillColor rgb="34D399"/>
            </x14:dataBar>
          </x14:cfRule>
          <xm:sqref>M2:M93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3.630000114440918" hidden="0" customWidth="1"/>
    <x:col min="3" max="3" width="9.420000076293945" hidden="0" customWidth="1"/>
    <x:col min="4" max="4" width="7.940000057220459" hidden="0" customWidth="1"/>
    <x:col min="5" max="5" width="7.670000076293945" hidden="0" customWidth="1"/>
    <x:col min="6" max="6" width="16.690000534057617" hidden="0" customWidth="1"/>
    <x:col min="7" max="7" width="13.0600004196167" hidden="0" customWidth="1"/>
    <x:col min="8" max="8" width="9.020000457763672" hidden="0" customWidth="1"/>
    <x:col min="9" max="9" width="14.800000190734863" hidden="0" customWidth="1"/>
    <x:col min="10" max="10" width="10" hidden="0" customWidth="1"/>
    <x:col min="11" max="11" width="12.380000114440918" hidden="0" customWidth="1"/>
    <x:col min="12" max="12" width="10.899999618530273" hidden="0" customWidth="1"/>
    <x:col min="13" max="13" width="10.899999618530273" hidden="0" customWidth="1"/>
    <x:col min="14" max="14" width="10.229999542236328" hidden="0" customWidth="1"/>
    <x:col min="15" max="15" width="6.590000152587891" hidden="0" customWidth="1"/>
    <x:col min="16" max="16" width="6.460000038146973" hidden="0" customWidth="1"/>
    <x:col min="17" max="17" width="9.6899995803833" hidden="0" customWidth="1"/>
    <x:col min="18" max="18" width="9.149999618530273" hidden="0" customWidth="1"/>
    <x:col min="19" max="19" width="11.3100004196167" hidden="0" customWidth="1"/>
    <x:col min="20" max="20" width="48" hidden="0" customWidth="1"/>
  </x:cols>
  <x:sheetData>
    <x:row r="1">
      <x:c r="A1" s="48" t="str">
        <x:v>Symbol</x:v>
      </x:c>
      <x:c r="B1" s="48" t="str">
        <x:v>Z</x:v>
      </x:c>
      <x:c r="C1" s="48" t="str">
        <x:v>Name</x:v>
      </x:c>
      <x:c r="D1" s="48" t="str">
        <x:v>Period</x:v>
      </x:c>
      <x:c r="E1" s="48" t="str">
        <x:v>Group</x:v>
      </x:c>
      <x:c r="F1" s="48" t="str">
        <x:v>Category</x:v>
      </x:c>
      <x:c r="G1" s="48" t="str">
        <x:v>OuterOrbital</x:v>
      </x:c>
      <x:c r="H1" s="48" t="str">
        <x:v>Valence</x:v>
      </x:c>
      <x:c r="I1" s="48" t="str">
        <x:v>Role</x:v>
      </x:c>
      <x:c r="J1" s="48" t="str">
        <x:v>Rune</x:v>
      </x:c>
      <x:c r="K1" s="48" t="str">
        <x:v>MatterDoor</x:v>
      </x:c>
      <x:c r="L1" s="48" t="str">
        <x:v>Activation</x:v>
      </x:c>
      <x:c r="M1" s="48" t="str">
        <x:v>Reception</x:v>
      </x:c>
      <x:c r="N1" s="48" t="str">
        <x:v>Structure</x:v>
      </x:c>
      <x:c r="O1" s="48" t="str">
        <x:v>Flow</x:v>
      </x:c>
      <x:c r="P1" s="48" t="str">
        <x:v>Gate</x:v>
      </x:c>
      <x:c r="Q1" s="48" t="str">
        <x:v>Memory</x:v>
      </x:c>
      <x:c r="R1" s="48" t="str">
        <x:v>Shadow</x:v>
      </x:c>
      <x:c r="S1" s="48" t="str">
        <x:v>Coherence</x:v>
      </x:c>
      <x:c r="T1" s="48" t="str">
        <x:v>Notes</x:v>
      </x:c>
      <x:c r="U1" s="47"/>
      <x:c r="V1" s="47"/>
      <x:c r="W1" s="47"/>
      <x:c r="X1" s="47"/>
      <x:c r="Y1" s="47"/>
      <x:c r="Z1" s="47"/>
    </x:row>
    <x:row r="2">
      <x:c r="A2" s="47" t="str">
        <x:v>H</x:v>
      </x:c>
      <x:c r="B2" s="47" t="n">
        <x:v>1</x:v>
      </x:c>
      <x:c r="C2" s="47" t="str">
        <x:v>Hydrogen</x:v>
      </x:c>
      <x:c r="D2" s="47" t="n">
        <x:v>1</x:v>
      </x:c>
      <x:c r="E2" s="47" t="n">
        <x:v>1</x:v>
      </x:c>
      <x:c r="F2" s="47" t="str">
        <x:v>nonmetal</x:v>
      </x:c>
      <x:c r="G2" s="47" t="str">
        <x:v>1s</x:v>
      </x:c>
      <x:c r="H2" s="47" t="n">
        <x:v>1</x:v>
      </x:c>
      <x:c r="I2" s="47" t="str">
        <x:v>Archer opener</x:v>
      </x:c>
      <x:c r="J2" s="47" t="str">
        <x:v>ᛏ△</x:v>
      </x:c>
      <x:c r="K2" s="47" t="str">
        <x:v>gas / plasma</x:v>
      </x:c>
      <x:c r="L2" s="47" t="n">
        <x:v>0.85</x:v>
      </x:c>
      <x:c r="M2" s="47" t="n">
        <x:v>0.25</x:v>
      </x:c>
      <x:c r="N2" s="47" t="n">
        <x:v>0.1</x:v>
      </x:c>
      <x:c r="O2" s="47" t="n">
        <x:v>0.95</x:v>
      </x:c>
      <x:c r="P2" s="47" t="n">
        <x:v>0.35</x:v>
      </x:c>
      <x:c r="Q2" s="47" t="n">
        <x:v>0.1</x:v>
      </x:c>
      <x:c r="R2" s="47" t="n">
        <x:v>0.25</x:v>
      </x:c>
      <x:c r="S2" s="47" t="n">
        <x:v>0.35</x:v>
      </x:c>
      <x:c r="T2" s="47" t="str">
        <x:v>Small mobile node; opens many bonds but needs receiver to stabilize.</x:v>
      </x:c>
      <x:c r="U2" s="47"/>
      <x:c r="V2" s="47"/>
      <x:c r="W2" s="47"/>
      <x:c r="X2" s="47"/>
      <x:c r="Y2" s="47"/>
      <x:c r="Z2" s="47"/>
    </x:row>
    <x:row r="3">
      <x:c r="A3" s="47" t="str">
        <x:v>He</x:v>
      </x:c>
      <x:c r="B3" s="47" t="n">
        <x:v>2</x:v>
      </x:c>
      <x:c r="C3" s="47" t="str">
        <x:v>Helium</x:v>
      </x:c>
      <x:c r="D3" s="47" t="n">
        <x:v>1</x:v>
      </x:c>
      <x:c r="E3" s="47" t="n">
        <x:v>18</x:v>
      </x:c>
      <x:c r="F3" s="47" t="str">
        <x:v>noble gas</x:v>
      </x:c>
      <x:c r="G3" s="47" t="str">
        <x:v>1s</x:v>
      </x:c>
      <x:c r="H3" s="47" t="n">
        <x:v>0</x:v>
      </x:c>
      <x:c r="I3" s="47" t="str">
        <x:v>Closed Gate</x:v>
      </x:c>
      <x:c r="J3" s="47" t="str">
        <x:v>◎✓</x:v>
      </x:c>
      <x:c r="K3" s="47" t="str">
        <x:v>gas</x:v>
      </x:c>
      <x:c r="L3" s="47" t="n">
        <x:v>0.05</x:v>
      </x:c>
      <x:c r="M3" s="47" t="n">
        <x:v>0.05</x:v>
      </x:c>
      <x:c r="N3" s="47" t="n">
        <x:v>0.85</x:v>
      </x:c>
      <x:c r="O3" s="47" t="n">
        <x:v>0.05</x:v>
      </x:c>
      <x:c r="P3" s="47" t="n">
        <x:v>1</x:v>
      </x:c>
      <x:c r="Q3" s="47" t="n">
        <x:v>0.8</x:v>
      </x:c>
      <x:c r="R3" s="47" t="n">
        <x:v>0.05</x:v>
      </x:c>
      <x:c r="S3" s="47" t="n">
        <x:v>0.95</x:v>
      </x:c>
      <x:c r="T3" s="47" t="str">
        <x:v>Stable shell; mostly HOLD for bonding.</x:v>
      </x:c>
      <x:c r="U3" s="47"/>
      <x:c r="V3" s="47"/>
      <x:c r="W3" s="47"/>
      <x:c r="X3" s="47"/>
      <x:c r="Y3" s="47"/>
      <x:c r="Z3" s="47"/>
    </x:row>
    <x:row r="4">
      <x:c r="A4" s="47" t="str">
        <x:v>Li</x:v>
      </x:c>
      <x:c r="B4" s="47" t="n">
        <x:v>3</x:v>
      </x:c>
      <x:c r="C4" s="47" t="str">
        <x:v>Lithium</x:v>
      </x:c>
      <x:c r="D4" s="47" t="n">
        <x:v>2</x:v>
      </x:c>
      <x:c r="E4" s="47" t="n">
        <x:v>1</x:v>
      </x:c>
      <x:c r="F4" s="47" t="str">
        <x:v>alkali metal</x:v>
      </x:c>
      <x:c r="G4" s="47" t="str">
        <x:v>2s</x:v>
      </x:c>
      <x:c r="H4" s="47" t="n">
        <x:v>1</x:v>
      </x:c>
      <x:c r="I4" s="47" t="str">
        <x:v>Donor opener</x:v>
      </x:c>
      <x:c r="J4" s="47" t="str">
        <x:v>△ᛏ</x:v>
      </x:c>
      <x:c r="K4" s="47" t="str">
        <x:v>solid</x:v>
      </x:c>
      <x:c r="L4" s="47" t="n">
        <x:v>0.8</x:v>
      </x:c>
      <x:c r="M4" s="47" t="n">
        <x:v>0.15</x:v>
      </x:c>
      <x:c r="N4" s="47" t="n">
        <x:v>0.25</x:v>
      </x:c>
      <x:c r="O4" s="47" t="n">
        <x:v>0.7</x:v>
      </x:c>
      <x:c r="P4" s="47" t="n">
        <x:v>0.3</x:v>
      </x:c>
      <x:c r="Q4" s="47" t="n">
        <x:v>0.2</x:v>
      </x:c>
      <x:c r="R4" s="47" t="n">
        <x:v>0.45</x:v>
      </x:c>
      <x:c r="S4" s="47" t="n">
        <x:v>0.35</x:v>
      </x:c>
      <x:c r="T4" s="47" t="str">
        <x:v>Gives electron; opens strong ionic transition.</x:v>
      </x:c>
      <x:c r="U4" s="47"/>
      <x:c r="V4" s="47"/>
      <x:c r="W4" s="47"/>
      <x:c r="X4" s="47"/>
      <x:c r="Y4" s="47"/>
      <x:c r="Z4" s="47"/>
    </x:row>
    <x:row r="5">
      <x:c r="A5" s="47" t="str">
        <x:v>Be</x:v>
      </x:c>
      <x:c r="B5" s="47" t="n">
        <x:v>4</x:v>
      </x:c>
      <x:c r="C5" s="47" t="str">
        <x:v>Beryllium</x:v>
      </x:c>
      <x:c r="D5" s="47" t="n">
        <x:v>2</x:v>
      </x:c>
      <x:c r="E5" s="47" t="n">
        <x:v>2</x:v>
      </x:c>
      <x:c r="F5" s="47" t="str">
        <x:v>alkaline earth</x:v>
      </x:c>
      <x:c r="G5" s="47" t="str">
        <x:v>2s</x:v>
      </x:c>
      <x:c r="H5" s="47" t="n">
        <x:v>2</x:v>
      </x:c>
      <x:c r="I5" s="47" t="str">
        <x:v>Structure donor</x:v>
      </x:c>
      <x:c r="J5" s="47" t="str">
        <x:v>□△</x:v>
      </x:c>
      <x:c r="K5" s="47" t="str">
        <x:v>solid</x:v>
      </x:c>
      <x:c r="L5" s="47" t="n">
        <x:v>0.55</x:v>
      </x:c>
      <x:c r="M5" s="47" t="n">
        <x:v>0.2</x:v>
      </x:c>
      <x:c r="N5" s="47" t="n">
        <x:v>0.65</x:v>
      </x:c>
      <x:c r="O5" s="47" t="n">
        <x:v>0.45</x:v>
      </x:c>
      <x:c r="P5" s="47" t="n">
        <x:v>0.45</x:v>
      </x:c>
      <x:c r="Q5" s="47" t="n">
        <x:v>0.45</x:v>
      </x:c>
      <x:c r="R5" s="47" t="n">
        <x:v>0.35</x:v>
      </x:c>
      <x:c r="S5" s="47" t="n">
        <x:v>0.55</x:v>
      </x:c>
      <x:c r="T5" s="47" t="str">
        <x:v>Small strong structural node; gate-sensitive.</x:v>
      </x:c>
      <x:c r="U5" s="47"/>
      <x:c r="V5" s="47"/>
      <x:c r="W5" s="47"/>
      <x:c r="X5" s="47"/>
      <x:c r="Y5" s="47"/>
      <x:c r="Z5" s="47"/>
    </x:row>
    <x:row r="6">
      <x:c r="A6" s="47" t="str">
        <x:v>B</x:v>
      </x:c>
      <x:c r="B6" s="47" t="n">
        <x:v>5</x:v>
      </x:c>
      <x:c r="C6" s="47" t="str">
        <x:v>Boron</x:v>
      </x:c>
      <x:c r="D6" s="47" t="n">
        <x:v>2</x:v>
      </x:c>
      <x:c r="E6" s="47" t="n">
        <x:v>13</x:v>
      </x:c>
      <x:c r="F6" s="47" t="str">
        <x:v>metalloid</x:v>
      </x:c>
      <x:c r="G6" s="47" t="str">
        <x:v>2p</x:v>
      </x:c>
      <x:c r="H6" s="47" t="n">
        <x:v>3</x:v>
      </x:c>
      <x:c r="I6" s="47" t="str">
        <x:v>Triangle former</x:v>
      </x:c>
      <x:c r="J6" s="47" t="str">
        <x:v>△□</x:v>
      </x:c>
      <x:c r="K6" s="47" t="str">
        <x:v>solid</x:v>
      </x:c>
      <x:c r="L6" s="47" t="n">
        <x:v>0.5</x:v>
      </x:c>
      <x:c r="M6" s="47" t="n">
        <x:v>0.45</x:v>
      </x:c>
      <x:c r="N6" s="47" t="n">
        <x:v>0.75</x:v>
      </x:c>
      <x:c r="O6" s="47" t="n">
        <x:v>0.4</x:v>
      </x:c>
      <x:c r="P6" s="47" t="n">
        <x:v>0.5</x:v>
      </x:c>
      <x:c r="Q6" s="47" t="n">
        <x:v>0.55</x:v>
      </x:c>
      <x:c r="R6" s="47" t="n">
        <x:v>0.3</x:v>
      </x:c>
      <x:c r="S6" s="47" t="n">
        <x:v>0.65</x:v>
      </x:c>
      <x:c r="T6" s="47" t="str">
        <x:v>Three-door form; bridges electron-deficient structures.</x:v>
      </x:c>
      <x:c r="U6" s="47"/>
      <x:c r="V6" s="47"/>
      <x:c r="W6" s="47"/>
      <x:c r="X6" s="47"/>
      <x:c r="Y6" s="47"/>
      <x:c r="Z6" s="47"/>
    </x:row>
    <x:row r="7">
      <x:c r="A7" s="47" t="str">
        <x:v>C</x:v>
      </x:c>
      <x:c r="B7" s="47" t="n">
        <x:v>6</x:v>
      </x:c>
      <x:c r="C7" s="47" t="str">
        <x:v>Carbon</x:v>
      </x:c>
      <x:c r="D7" s="47" t="n">
        <x:v>2</x:v>
      </x:c>
      <x:c r="E7" s="47" t="n">
        <x:v>14</x:v>
      </x:c>
      <x:c r="F7" s="47" t="str">
        <x:v>nonmetal</x:v>
      </x:c>
      <x:c r="G7" s="47" t="str">
        <x:v>2p</x:v>
      </x:c>
      <x:c r="H7" s="47" t="n">
        <x:v>4</x:v>
      </x:c>
      <x:c r="I7" s="47" t="str">
        <x:v>Engineer grammar</x:v>
      </x:c>
      <x:c r="J7" s="47" t="str">
        <x:v>□◉</x:v>
      </x:c>
      <x:c r="K7" s="47" t="str">
        <x:v>solid</x:v>
      </x:c>
      <x:c r="L7" s="47" t="n">
        <x:v>0.45</x:v>
      </x:c>
      <x:c r="M7" s="47" t="n">
        <x:v>0.45</x:v>
      </x:c>
      <x:c r="N7" s="47" t="n">
        <x:v>1</x:v>
      </x:c>
      <x:c r="O7" s="47" t="n">
        <x:v>0.7</x:v>
      </x:c>
      <x:c r="P7" s="47" t="n">
        <x:v>0.65</x:v>
      </x:c>
      <x:c r="Q7" s="47" t="n">
        <x:v>0.9</x:v>
      </x:c>
      <x:c r="R7" s="47" t="n">
        <x:v>0.2</x:v>
      </x:c>
      <x:c r="S7" s="47" t="n">
        <x:v>0.85</x:v>
      </x:c>
      <x:c r="T7" s="47" t="str">
        <x:v>Four-door molecule grammar; builds chains, rings and living structures.</x:v>
      </x:c>
      <x:c r="U7" s="47"/>
      <x:c r="V7" s="47"/>
      <x:c r="W7" s="47"/>
      <x:c r="X7" s="47"/>
      <x:c r="Y7" s="47"/>
      <x:c r="Z7" s="47"/>
    </x:row>
    <x:row r="8">
      <x:c r="A8" s="47" t="str">
        <x:v>N</x:v>
      </x:c>
      <x:c r="B8" s="47" t="n">
        <x:v>7</x:v>
      </x:c>
      <x:c r="C8" s="47" t="str">
        <x:v>Nitrogen</x:v>
      </x:c>
      <x:c r="D8" s="47" t="n">
        <x:v>2</x:v>
      </x:c>
      <x:c r="E8" s="47" t="n">
        <x:v>15</x:v>
      </x:c>
      <x:c r="F8" s="47" t="str">
        <x:v>nonmetal</x:v>
      </x:c>
      <x:c r="G8" s="47" t="str">
        <x:v>2p</x:v>
      </x:c>
      <x:c r="H8" s="47" t="n">
        <x:v>3</x:v>
      </x:c>
      <x:c r="I8" s="47" t="str">
        <x:v>Bridge guardian</x:v>
      </x:c>
      <x:c r="J8" s="47" t="str">
        <x:v>◎ᛉ</x:v>
      </x:c>
      <x:c r="K8" s="47" t="str">
        <x:v>gas</x:v>
      </x:c>
      <x:c r="L8" s="47" t="n">
        <x:v>0.45</x:v>
      </x:c>
      <x:c r="M8" s="47" t="n">
        <x:v>0.7</x:v>
      </x:c>
      <x:c r="N8" s="47" t="n">
        <x:v>0.65</x:v>
      </x:c>
      <x:c r="O8" s="47" t="n">
        <x:v>0.65</x:v>
      </x:c>
      <x:c r="P8" s="47" t="n">
        <x:v>0.75</x:v>
      </x:c>
      <x:c r="Q8" s="47" t="n">
        <x:v>0.55</x:v>
      </x:c>
      <x:c r="R8" s="47" t="n">
        <x:v>0.25</x:v>
      </x:c>
      <x:c r="S8" s="47" t="n">
        <x:v>0.7</x:v>
      </x:c>
      <x:c r="T8" s="47" t="str">
        <x:v>Triple bonds and biochemical gates; stabilizes or blocks.</x:v>
      </x:c>
      <x:c r="U8" s="47"/>
      <x:c r="V8" s="47"/>
      <x:c r="W8" s="47"/>
      <x:c r="X8" s="47"/>
      <x:c r="Y8" s="47"/>
      <x:c r="Z8" s="47"/>
    </x:row>
    <x:row r="9">
      <x:c r="A9" s="47" t="str">
        <x:v>O</x:v>
      </x:c>
      <x:c r="B9" s="47" t="n">
        <x:v>8</x:v>
      </x:c>
      <x:c r="C9" s="47" t="str">
        <x:v>Oxygen</x:v>
      </x:c>
      <x:c r="D9" s="47" t="n">
        <x:v>2</x:v>
      </x:c>
      <x:c r="E9" s="47" t="n">
        <x:v>16</x:v>
      </x:c>
      <x:c r="F9" s="47" t="str">
        <x:v>nonmetal</x:v>
      </x:c>
      <x:c r="G9" s="47" t="str">
        <x:v>2p</x:v>
      </x:c>
      <x:c r="H9" s="47" t="n">
        <x:v>2</x:v>
      </x:c>
      <x:c r="I9" s="47" t="str">
        <x:v>Receiver activator</x:v>
      </x:c>
      <x:c r="J9" s="47" t="str">
        <x:v>▽△</x:v>
      </x:c>
      <x:c r="K9" s="47" t="str">
        <x:v>gas</x:v>
      </x:c>
      <x:c r="L9" s="47" t="n">
        <x:v>0.7</x:v>
      </x:c>
      <x:c r="M9" s="47" t="n">
        <x:v>0.95</x:v>
      </x:c>
      <x:c r="N9" s="47" t="n">
        <x:v>0.45</x:v>
      </x:c>
      <x:c r="O9" s="47" t="n">
        <x:v>0.8</x:v>
      </x:c>
      <x:c r="P9" s="47" t="n">
        <x:v>0.65</x:v>
      </x:c>
      <x:c r="Q9" s="47" t="n">
        <x:v>0.45</x:v>
      </x:c>
      <x:c r="R9" s="47" t="n">
        <x:v>0.35</x:v>
      </x:c>
      <x:c r="S9" s="47" t="n">
        <x:v>0.65</x:v>
      </x:c>
      <x:c r="T9" s="47" t="str">
        <x:v>Strong receiver; activates oxidation and stabilizes water/oxides.</x:v>
      </x:c>
      <x:c r="U9" s="47"/>
      <x:c r="V9" s="47"/>
      <x:c r="W9" s="47"/>
      <x:c r="X9" s="47"/>
      <x:c r="Y9" s="47"/>
      <x:c r="Z9" s="47"/>
    </x:row>
    <x:row r="10">
      <x:c r="A10" s="47" t="str">
        <x:v>F</x:v>
      </x:c>
      <x:c r="B10" s="47" t="n">
        <x:v>9</x:v>
      </x:c>
      <x:c r="C10" s="47" t="str">
        <x:v>Fluorine</x:v>
      </x:c>
      <x:c r="D10" s="47" t="n">
        <x:v>2</x:v>
      </x:c>
      <x:c r="E10" s="47" t="n">
        <x:v>17</x:v>
      </x:c>
      <x:c r="F10" s="47" t="str">
        <x:v>halogen</x:v>
      </x:c>
      <x:c r="G10" s="47" t="str">
        <x:v>2p</x:v>
      </x:c>
      <x:c r="H10" s="47" t="n">
        <x:v>1</x:v>
      </x:c>
      <x:c r="I10" s="47" t="str">
        <x:v>Strong receiver</x:v>
      </x:c>
      <x:c r="J10" s="47" t="str">
        <x:v>▽◎</x:v>
      </x:c>
      <x:c r="K10" s="47" t="str">
        <x:v>gas</x:v>
      </x:c>
      <x:c r="L10" s="47" t="n">
        <x:v>0.75</x:v>
      </x:c>
      <x:c r="M10" s="47" t="n">
        <x:v>1</x:v>
      </x:c>
      <x:c r="N10" s="47" t="n">
        <x:v>0.35</x:v>
      </x:c>
      <x:c r="O10" s="47" t="n">
        <x:v>0.65</x:v>
      </x:c>
      <x:c r="P10" s="47" t="n">
        <x:v>0.7</x:v>
      </x:c>
      <x:c r="Q10" s="47" t="n">
        <x:v>0.35</x:v>
      </x:c>
      <x:c r="R10" s="47" t="n">
        <x:v>0.5</x:v>
      </x:c>
      <x:c r="S10" s="47" t="n">
        <x:v>0.55</x:v>
      </x:c>
      <x:c r="T10" s="47" t="str">
        <x:v>Very strong electron receiver; high reactivity and risk.</x:v>
      </x:c>
      <x:c r="U10" s="47"/>
      <x:c r="V10" s="47"/>
      <x:c r="W10" s="47"/>
      <x:c r="X10" s="47"/>
      <x:c r="Y10" s="47"/>
      <x:c r="Z10" s="47"/>
    </x:row>
    <x:row r="11">
      <x:c r="A11" s="47" t="str">
        <x:v>Ne</x:v>
      </x:c>
      <x:c r="B11" s="47" t="n">
        <x:v>10</x:v>
      </x:c>
      <x:c r="C11" s="47" t="str">
        <x:v>Neon</x:v>
      </x:c>
      <x:c r="D11" s="47" t="n">
        <x:v>2</x:v>
      </x:c>
      <x:c r="E11" s="47" t="n">
        <x:v>18</x:v>
      </x:c>
      <x:c r="F11" s="47" t="str">
        <x:v>noble gas</x:v>
      </x:c>
      <x:c r="G11" s="47" t="str">
        <x:v>2p</x:v>
      </x:c>
      <x:c r="H11" s="47" t="n">
        <x:v>0</x:v>
      </x:c>
      <x:c r="I11" s="47" t="str">
        <x:v>Closed Gate</x:v>
      </x:c>
      <x:c r="J11" s="47" t="str">
        <x:v>◎✓</x:v>
      </x:c>
      <x:c r="K11" s="47" t="str">
        <x:v>gas</x:v>
      </x:c>
      <x:c r="L11" s="47" t="n">
        <x:v>0.05</x:v>
      </x:c>
      <x:c r="M11" s="47" t="n">
        <x:v>0.05</x:v>
      </x:c>
      <x:c r="N11" s="47" t="n">
        <x:v>0.9</x:v>
      </x:c>
      <x:c r="O11" s="47" t="n">
        <x:v>0.05</x:v>
      </x:c>
      <x:c r="P11" s="47" t="n">
        <x:v>1</x:v>
      </x:c>
      <x:c r="Q11" s="47" t="n">
        <x:v>0.85</x:v>
      </x:c>
      <x:c r="R11" s="47" t="n">
        <x:v>0.05</x:v>
      </x:c>
      <x:c r="S11" s="47" t="n">
        <x:v>0.95</x:v>
      </x:c>
      <x:c r="T11" s="47" t="str">
        <x:v>Stable shell; luminous but chemically closed.</x:v>
      </x:c>
      <x:c r="U11" s="47"/>
      <x:c r="V11" s="47"/>
      <x:c r="W11" s="47"/>
      <x:c r="X11" s="47"/>
      <x:c r="Y11" s="47"/>
      <x:c r="Z11" s="47"/>
    </x:row>
    <x:row r="12">
      <x:c r="A12" s="47" t="str">
        <x:v>Na</x:v>
      </x:c>
      <x:c r="B12" s="47" t="n">
        <x:v>11</x:v>
      </x:c>
      <x:c r="C12" s="47" t="str">
        <x:v>Sodium</x:v>
      </x:c>
      <x:c r="D12" s="47" t="n">
        <x:v>3</x:v>
      </x:c>
      <x:c r="E12" s="47" t="n">
        <x:v>1</x:v>
      </x:c>
      <x:c r="F12" s="47" t="str">
        <x:v>alkali metal</x:v>
      </x:c>
      <x:c r="G12" s="47" t="str">
        <x:v>3s</x:v>
      </x:c>
      <x:c r="H12" s="47" t="n">
        <x:v>1</x:v>
      </x:c>
      <x:c r="I12" s="47" t="str">
        <x:v>Strong donor</x:v>
      </x:c>
      <x:c r="J12" s="47" t="str">
        <x:v>△ᛏ</x:v>
      </x:c>
      <x:c r="K12" s="47" t="str">
        <x:v>solid</x:v>
      </x:c>
      <x:c r="L12" s="47" t="n">
        <x:v>0.9</x:v>
      </x:c>
      <x:c r="M12" s="47" t="n">
        <x:v>0.1</x:v>
      </x:c>
      <x:c r="N12" s="47" t="n">
        <x:v>0.3</x:v>
      </x:c>
      <x:c r="O12" s="47" t="n">
        <x:v>0.75</x:v>
      </x:c>
      <x:c r="P12" s="47" t="n">
        <x:v>0.3</x:v>
      </x:c>
      <x:c r="Q12" s="47" t="n">
        <x:v>0.2</x:v>
      </x:c>
      <x:c r="R12" s="47" t="n">
        <x:v>0.55</x:v>
      </x:c>
      <x:c r="S12" s="47" t="n">
        <x:v>0.3</x:v>
      </x:c>
      <x:c r="T12" s="47" t="str">
        <x:v>Strong opener; quickly gives electron, requires Gate.</x:v>
      </x:c>
      <x:c r="U12" s="47"/>
      <x:c r="V12" s="47"/>
      <x:c r="W12" s="47"/>
      <x:c r="X12" s="47"/>
      <x:c r="Y12" s="47"/>
      <x:c r="Z12" s="47"/>
    </x:row>
    <x:row r="13">
      <x:c r="A13" s="47" t="str">
        <x:v>Mg</x:v>
      </x:c>
      <x:c r="B13" s="47" t="n">
        <x:v>12</x:v>
      </x:c>
      <x:c r="C13" s="47" t="str">
        <x:v>Magnesium</x:v>
      </x:c>
      <x:c r="D13" s="47" t="n">
        <x:v>3</x:v>
      </x:c>
      <x:c r="E13" s="47" t="n">
        <x:v>2</x:v>
      </x:c>
      <x:c r="F13" s="47" t="str">
        <x:v>alkaline earth</x:v>
      </x:c>
      <x:c r="G13" s="47" t="str">
        <x:v>3s</x:v>
      </x:c>
      <x:c r="H13" s="47" t="n">
        <x:v>2</x:v>
      </x:c>
      <x:c r="I13" s="47" t="str">
        <x:v>Structure donor</x:v>
      </x:c>
      <x:c r="J13" s="47" t="str">
        <x:v>□△</x:v>
      </x:c>
      <x:c r="K13" s="47" t="str">
        <x:v>solid</x:v>
      </x:c>
      <x:c r="L13" s="47" t="n">
        <x:v>0.65</x:v>
      </x:c>
      <x:c r="M13" s="47" t="n">
        <x:v>0.2</x:v>
      </x:c>
      <x:c r="N13" s="47" t="n">
        <x:v>0.7</x:v>
      </x:c>
      <x:c r="O13" s="47" t="n">
        <x:v>0.5</x:v>
      </x:c>
      <x:c r="P13" s="47" t="n">
        <x:v>0.45</x:v>
      </x:c>
      <x:c r="Q13" s="47" t="n">
        <x:v>0.45</x:v>
      </x:c>
      <x:c r="R13" s="47" t="n">
        <x:v>0.35</x:v>
      </x:c>
      <x:c r="S13" s="47" t="n">
        <x:v>0.6</x:v>
      </x:c>
      <x:c r="T13" s="47" t="str">
        <x:v>Two-door structural donor.</x:v>
      </x:c>
      <x:c r="U13" s="47"/>
      <x:c r="V13" s="47"/>
      <x:c r="W13" s="47"/>
      <x:c r="X13" s="47"/>
      <x:c r="Y13" s="47"/>
      <x:c r="Z13" s="47"/>
    </x:row>
    <x:row r="14">
      <x:c r="A14" s="47" t="str">
        <x:v>Al</x:v>
      </x:c>
      <x:c r="B14" s="47" t="n">
        <x:v>13</x:v>
      </x:c>
      <x:c r="C14" s="47" t="str">
        <x:v>Aluminium</x:v>
      </x:c>
      <x:c r="D14" s="47" t="n">
        <x:v>3</x:v>
      </x:c>
      <x:c r="E14" s="47" t="n">
        <x:v>13</x:v>
      </x:c>
      <x:c r="F14" s="47" t="str">
        <x:v>post-transition metal</x:v>
      </x:c>
      <x:c r="G14" s="47" t="str">
        <x:v>3p</x:v>
      </x:c>
      <x:c r="H14" s="47" t="n">
        <x:v>3</x:v>
      </x:c>
      <x:c r="I14" s="47" t="str">
        <x:v>Form builder</x:v>
      </x:c>
      <x:c r="J14" s="47" t="str">
        <x:v>□◎</x:v>
      </x:c>
      <x:c r="K14" s="47" t="str">
        <x:v>solid</x:v>
      </x:c>
      <x:c r="L14" s="47" t="n">
        <x:v>0.55</x:v>
      </x:c>
      <x:c r="M14" s="47" t="n">
        <x:v>0.35</x:v>
      </x:c>
      <x:c r="N14" s="47" t="n">
        <x:v>0.8</x:v>
      </x:c>
      <x:c r="O14" s="47" t="n">
        <x:v>0.45</x:v>
      </x:c>
      <x:c r="P14" s="47" t="n">
        <x:v>0.55</x:v>
      </x:c>
      <x:c r="Q14" s="47" t="n">
        <x:v>0.6</x:v>
      </x:c>
      <x:c r="R14" s="47" t="n">
        <x:v>0.25</x:v>
      </x:c>
      <x:c r="S14" s="47" t="n">
        <x:v>0.7</x:v>
      </x:c>
      <x:c r="T14" s="47" t="str">
        <x:v>Light structural metal; oxide membrane protects.</x:v>
      </x:c>
      <x:c r="U14" s="47"/>
      <x:c r="V14" s="47"/>
      <x:c r="W14" s="47"/>
      <x:c r="X14" s="47"/>
      <x:c r="Y14" s="47"/>
      <x:c r="Z14" s="47"/>
    </x:row>
    <x:row r="15">
      <x:c r="A15" s="47" t="str">
        <x:v>Si</x:v>
      </x:c>
      <x:c r="B15" s="47" t="n">
        <x:v>14</x:v>
      </x:c>
      <x:c r="C15" s="47" t="str">
        <x:v>Silicon</x:v>
      </x:c>
      <x:c r="D15" s="47" t="n">
        <x:v>3</x:v>
      </x:c>
      <x:c r="E15" s="47" t="n">
        <x:v>14</x:v>
      </x:c>
      <x:c r="F15" s="47" t="str">
        <x:v>metalloid</x:v>
      </x:c>
      <x:c r="G15" s="47" t="str">
        <x:v>3p</x:v>
      </x:c>
      <x:c r="H15" s="47" t="n">
        <x:v>4</x:v>
      </x:c>
      <x:c r="I15" s="47" t="str">
        <x:v>Lattice engineer</x:v>
      </x:c>
      <x:c r="J15" s="47" t="str">
        <x:v>□◉</x:v>
      </x:c>
      <x:c r="K15" s="47" t="str">
        <x:v>solid</x:v>
      </x:c>
      <x:c r="L15" s="47" t="n">
        <x:v>0.4</x:v>
      </x:c>
      <x:c r="M15" s="47" t="n">
        <x:v>0.45</x:v>
      </x:c>
      <x:c r="N15" s="47" t="n">
        <x:v>0.95</x:v>
      </x:c>
      <x:c r="O15" s="47" t="n">
        <x:v>0.5</x:v>
      </x:c>
      <x:c r="P15" s="47" t="n">
        <x:v>0.65</x:v>
      </x:c>
      <x:c r="Q15" s="47" t="n">
        <x:v>0.85</x:v>
      </x:c>
      <x:c r="R15" s="47" t="n">
        <x:v>0.2</x:v>
      </x:c>
      <x:c r="S15" s="47" t="n">
        <x:v>0.85</x:v>
      </x:c>
      <x:c r="T15" s="47" t="str">
        <x:v>Crystal/lattice grammar; bridge to electronics.</x:v>
      </x:c>
      <x:c r="U15" s="47"/>
      <x:c r="V15" s="47"/>
      <x:c r="W15" s="47"/>
      <x:c r="X15" s="47"/>
      <x:c r="Y15" s="47"/>
      <x:c r="Z15" s="47"/>
    </x:row>
    <x:row r="16">
      <x:c r="A16" s="47" t="str">
        <x:v>P</x:v>
      </x:c>
      <x:c r="B16" s="47" t="n">
        <x:v>15</x:v>
      </x:c>
      <x:c r="C16" s="47" t="str">
        <x:v>Phosphorus</x:v>
      </x:c>
      <x:c r="D16" s="47" t="n">
        <x:v>3</x:v>
      </x:c>
      <x:c r="E16" s="47" t="n">
        <x:v>15</x:v>
      </x:c>
      <x:c r="F16" s="47" t="str">
        <x:v>nonmetal</x:v>
      </x:c>
      <x:c r="G16" s="47" t="str">
        <x:v>3p</x:v>
      </x:c>
      <x:c r="H16" s="47" t="n">
        <x:v>3</x:v>
      </x:c>
      <x:c r="I16" s="47" t="str">
        <x:v>Energy memory</x:v>
      </x:c>
      <x:c r="J16" s="47" t="str">
        <x:v>◉△</x:v>
      </x:c>
      <x:c r="K16" s="47" t="str">
        <x:v>solid</x:v>
      </x:c>
      <x:c r="L16" s="47" t="n">
        <x:v>0.65</x:v>
      </x:c>
      <x:c r="M16" s="47" t="n">
        <x:v>0.65</x:v>
      </x:c>
      <x:c r="N16" s="47" t="n">
        <x:v>0.6</x:v>
      </x:c>
      <x:c r="O16" s="47" t="n">
        <x:v>0.75</x:v>
      </x:c>
      <x:c r="P16" s="47" t="n">
        <x:v>0.6</x:v>
      </x:c>
      <x:c r="Q16" s="47" t="n">
        <x:v>0.9</x:v>
      </x:c>
      <x:c r="R16" s="47" t="n">
        <x:v>0.4</x:v>
      </x:c>
      <x:c r="S16" s="47" t="n">
        <x:v>0.65</x:v>
      </x:c>
      <x:c r="T16" s="47" t="str">
        <x:v>Energy-transfer memory; phosphate logic.</x:v>
      </x:c>
      <x:c r="U16" s="47"/>
      <x:c r="V16" s="47"/>
      <x:c r="W16" s="47"/>
      <x:c r="X16" s="47"/>
      <x:c r="Y16" s="47"/>
      <x:c r="Z16" s="47"/>
    </x:row>
    <x:row r="17">
      <x:c r="A17" s="47" t="str">
        <x:v>S</x:v>
      </x:c>
      <x:c r="B17" s="47" t="n">
        <x:v>16</x:v>
      </x:c>
      <x:c r="C17" s="47" t="str">
        <x:v>Sulfur</x:v>
      </x:c>
      <x:c r="D17" s="47" t="n">
        <x:v>3</x:v>
      </x:c>
      <x:c r="E17" s="47" t="n">
        <x:v>16</x:v>
      </x:c>
      <x:c r="F17" s="47" t="str">
        <x:v>nonmetal</x:v>
      </x:c>
      <x:c r="G17" s="47" t="str">
        <x:v>3p</x:v>
      </x:c>
      <x:c r="H17" s="47" t="n">
        <x:v>2</x:v>
      </x:c>
      <x:c r="I17" s="47" t="str">
        <x:v>Connector phase</x:v>
      </x:c>
      <x:c r="J17" s="47" t="str">
        <x:v>↺▽</x:v>
      </x:c>
      <x:c r="K17" s="47" t="str">
        <x:v>solid</x:v>
      </x:c>
      <x:c r="L17" s="47" t="n">
        <x:v>0.55</x:v>
      </x:c>
      <x:c r="M17" s="47" t="n">
        <x:v>0.7</x:v>
      </x:c>
      <x:c r="N17" s="47" t="n">
        <x:v>0.65</x:v>
      </x:c>
      <x:c r="O17" s="47" t="n">
        <x:v>0.7</x:v>
      </x:c>
      <x:c r="P17" s="47" t="n">
        <x:v>0.55</x:v>
      </x:c>
      <x:c r="Q17" s="47" t="n">
        <x:v>0.65</x:v>
      </x:c>
      <x:c r="R17" s="47" t="n">
        <x:v>0.35</x:v>
      </x:c>
      <x:c r="S17" s="47" t="n">
        <x:v>0.65</x:v>
      </x:c>
      <x:c r="T17" s="47" t="str">
        <x:v>Connects, crosslinks, changes phases/oxidation states.</x:v>
      </x:c>
      <x:c r="U17" s="47"/>
      <x:c r="V17" s="47"/>
      <x:c r="W17" s="47"/>
      <x:c r="X17" s="47"/>
      <x:c r="Y17" s="47"/>
      <x:c r="Z17" s="47"/>
    </x:row>
    <x:row r="18">
      <x:c r="A18" s="47" t="str">
        <x:v>Cl</x:v>
      </x:c>
      <x:c r="B18" s="47" t="n">
        <x:v>17</x:v>
      </x:c>
      <x:c r="C18" s="47" t="str">
        <x:v>Chlorine</x:v>
      </x:c>
      <x:c r="D18" s="47" t="n">
        <x:v>3</x:v>
      </x:c>
      <x:c r="E18" s="47" t="n">
        <x:v>17</x:v>
      </x:c>
      <x:c r="F18" s="47" t="str">
        <x:v>halogen</x:v>
      </x:c>
      <x:c r="G18" s="47" t="str">
        <x:v>3p</x:v>
      </x:c>
      <x:c r="H18" s="47" t="n">
        <x:v>1</x:v>
      </x:c>
      <x:c r="I18" s="47" t="str">
        <x:v>Receiver closure</x:v>
      </x:c>
      <x:c r="J18" s="47" t="str">
        <x:v>▽◎</x:v>
      </x:c>
      <x:c r="K18" s="47" t="str">
        <x:v>gas</x:v>
      </x:c>
      <x:c r="L18" s="47" t="n">
        <x:v>0.7</x:v>
      </x:c>
      <x:c r="M18" s="47" t="n">
        <x:v>0.95</x:v>
      </x:c>
      <x:c r="N18" s="47" t="n">
        <x:v>0.4</x:v>
      </x:c>
      <x:c r="O18" s="47" t="n">
        <x:v>0.6</x:v>
      </x:c>
      <x:c r="P18" s="47" t="n">
        <x:v>0.7</x:v>
      </x:c>
      <x:c r="Q18" s="47" t="n">
        <x:v>0.4</x:v>
      </x:c>
      <x:c r="R18" s="47" t="n">
        <x:v>0.45</x:v>
      </x:c>
      <x:c r="S18" s="47" t="n">
        <x:v>0.6</x:v>
      </x:c>
      <x:c r="T18" s="47" t="str">
        <x:v>Strong receiver; closes ionic pair with donors.</x:v>
      </x:c>
      <x:c r="U18" s="47"/>
      <x:c r="V18" s="47"/>
      <x:c r="W18" s="47"/>
      <x:c r="X18" s="47"/>
      <x:c r="Y18" s="47"/>
      <x:c r="Z18" s="47"/>
    </x:row>
    <x:row r="19">
      <x:c r="A19" s="47" t="str">
        <x:v>Ar</x:v>
      </x:c>
      <x:c r="B19" s="47" t="n">
        <x:v>18</x:v>
      </x:c>
      <x:c r="C19" s="47" t="str">
        <x:v>Argon</x:v>
      </x:c>
      <x:c r="D19" s="47" t="n">
        <x:v>3</x:v>
      </x:c>
      <x:c r="E19" s="47" t="n">
        <x:v>18</x:v>
      </x:c>
      <x:c r="F19" s="47" t="str">
        <x:v>noble gas</x:v>
      </x:c>
      <x:c r="G19" s="47" t="str">
        <x:v>3p</x:v>
      </x:c>
      <x:c r="H19" s="47" t="n">
        <x:v>0</x:v>
      </x:c>
      <x:c r="I19" s="47" t="str">
        <x:v>Closed Gate</x:v>
      </x:c>
      <x:c r="J19" s="47" t="str">
        <x:v>◎✓</x:v>
      </x:c>
      <x:c r="K19" s="47" t="str">
        <x:v>gas</x:v>
      </x:c>
      <x:c r="L19" s="47" t="n">
        <x:v>0.05</x:v>
      </x:c>
      <x:c r="M19" s="47" t="n">
        <x:v>0.05</x:v>
      </x:c>
      <x:c r="N19" s="47" t="n">
        <x:v>0.9</x:v>
      </x:c>
      <x:c r="O19" s="47" t="n">
        <x:v>0.05</x:v>
      </x:c>
      <x:c r="P19" s="47" t="n">
        <x:v>1</x:v>
      </x:c>
      <x:c r="Q19" s="47" t="n">
        <x:v>0.85</x:v>
      </x:c>
      <x:c r="R19" s="47" t="n">
        <x:v>0.05</x:v>
      </x:c>
      <x:c r="S19" s="47" t="n">
        <x:v>0.95</x:v>
      </x:c>
      <x:c r="T19" s="47" t="str">
        <x:v>Stable shell; HOLD for common reactions.</x:v>
      </x:c>
      <x:c r="U19" s="47"/>
      <x:c r="V19" s="47"/>
      <x:c r="W19" s="47"/>
      <x:c r="X19" s="47"/>
      <x:c r="Y19" s="47"/>
      <x:c r="Z19" s="47"/>
    </x:row>
    <x:row r="20">
      <x:c r="A20" s="47" t="str">
        <x:v>K</x:v>
      </x:c>
      <x:c r="B20" s="47" t="n">
        <x:v>19</x:v>
      </x:c>
      <x:c r="C20" s="47" t="str">
        <x:v>Potassium</x:v>
      </x:c>
      <x:c r="D20" s="47" t="n">
        <x:v>4</x:v>
      </x:c>
      <x:c r="E20" s="47" t="n">
        <x:v>1</x:v>
      </x:c>
      <x:c r="F20" s="47" t="str">
        <x:v>alkali metal</x:v>
      </x:c>
      <x:c r="G20" s="47" t="str">
        <x:v>4s</x:v>
      </x:c>
      <x:c r="H20" s="47" t="n">
        <x:v>1</x:v>
      </x:c>
      <x:c r="I20" s="47" t="str">
        <x:v>Heavy opener</x:v>
      </x:c>
      <x:c r="J20" s="47" t="str">
        <x:v>△ᛏ</x:v>
      </x:c>
      <x:c r="K20" s="47" t="str">
        <x:v>solid</x:v>
      </x:c>
      <x:c r="L20" s="47" t="n">
        <x:v>0.95</x:v>
      </x:c>
      <x:c r="M20" s="47" t="n">
        <x:v>0.1</x:v>
      </x:c>
      <x:c r="N20" s="47" t="n">
        <x:v>0.3</x:v>
      </x:c>
      <x:c r="O20" s="47" t="n">
        <x:v>0.8</x:v>
      </x:c>
      <x:c r="P20" s="47" t="n">
        <x:v>0.25</x:v>
      </x:c>
      <x:c r="Q20" s="47" t="n">
        <x:v>0.25</x:v>
      </x:c>
      <x:c r="R20" s="47" t="n">
        <x:v>0.65</x:v>
      </x:c>
      <x:c r="S20" s="47" t="n">
        <x:v>0.25</x:v>
      </x:c>
      <x:c r="T20" s="47" t="str">
        <x:v>Stronger opener; high shadow risk if uncontrolled.</x:v>
      </x:c>
      <x:c r="U20" s="47"/>
      <x:c r="V20" s="47"/>
      <x:c r="W20" s="47"/>
      <x:c r="X20" s="47"/>
      <x:c r="Y20" s="47"/>
      <x:c r="Z20" s="47"/>
    </x:row>
    <x:row r="21">
      <x:c r="A21" s="47" t="str">
        <x:v>Ca</x:v>
      </x:c>
      <x:c r="B21" s="47" t="n">
        <x:v>20</x:v>
      </x:c>
      <x:c r="C21" s="47" t="str">
        <x:v>Calcium</x:v>
      </x:c>
      <x:c r="D21" s="47" t="n">
        <x:v>4</x:v>
      </x:c>
      <x:c r="E21" s="47" t="n">
        <x:v>2</x:v>
      </x:c>
      <x:c r="F21" s="47" t="str">
        <x:v>alkaline earth</x:v>
      </x:c>
      <x:c r="G21" s="47" t="str">
        <x:v>4s</x:v>
      </x:c>
      <x:c r="H21" s="47" t="n">
        <x:v>2</x:v>
      </x:c>
      <x:c r="I21" s="47" t="str">
        <x:v>Tank structure</x:v>
      </x:c>
      <x:c r="J21" s="47" t="str">
        <x:v>ᛉ□</x:v>
      </x:c>
      <x:c r="K21" s="47" t="str">
        <x:v>solid</x:v>
      </x:c>
      <x:c r="L21" s="47" t="n">
        <x:v>0.6</x:v>
      </x:c>
      <x:c r="M21" s="47" t="n">
        <x:v>0.25</x:v>
      </x:c>
      <x:c r="N21" s="47" t="n">
        <x:v>0.8</x:v>
      </x:c>
      <x:c r="O21" s="47" t="n">
        <x:v>0.45</x:v>
      </x:c>
      <x:c r="P21" s="47" t="n">
        <x:v>0.55</x:v>
      </x:c>
      <x:c r="Q21" s="47" t="n">
        <x:v>0.65</x:v>
      </x:c>
      <x:c r="R21" s="47" t="n">
        <x:v>0.3</x:v>
      </x:c>
      <x:c r="S21" s="47" t="n">
        <x:v>0.7</x:v>
      </x:c>
      <x:c r="T21" s="47" t="str">
        <x:v>Structural ion in bones/minerals; holds form.</x:v>
      </x:c>
      <x:c r="U21" s="47"/>
      <x:c r="V21" s="47"/>
      <x:c r="W21" s="47"/>
      <x:c r="X21" s="47"/>
      <x:c r="Y21" s="47"/>
      <x:c r="Z21" s="47"/>
    </x:row>
    <x:row r="22">
      <x:c r="A22" s="47" t="str">
        <x:v>Sc</x:v>
      </x:c>
      <x:c r="B22" s="47" t="n">
        <x:v>21</x:v>
      </x:c>
      <x:c r="C22" s="47" t="str">
        <x:v>Scandium</x:v>
      </x:c>
      <x:c r="D22" s="47" t="n">
        <x:v>4</x:v>
      </x:c>
      <x:c r="E22" s="47" t="n">
        <x:v>3</x:v>
      </x:c>
      <x:c r="F22" s="47" t="str">
        <x:v>transition metal</x:v>
      </x:c>
      <x:c r="G22" s="47" t="str">
        <x:v>3d</x:v>
      </x:c>
      <x:c r="H22" s="47" t="n">
        <x:v>3</x:v>
      </x:c>
      <x:c r="I22" s="47" t="str">
        <x:v>Transition bridge</x:v>
      </x:c>
      <x:c r="J22" s="47" t="str">
        <x:v>↺□</x:v>
      </x:c>
      <x:c r="K22" s="47" t="str">
        <x:v>solid</x:v>
      </x:c>
      <x:c r="L22" s="47" t="n">
        <x:v>0.55</x:v>
      </x:c>
      <x:c r="M22" s="47" t="n">
        <x:v>0.35</x:v>
      </x:c>
      <x:c r="N22" s="47" t="n">
        <x:v>0.75</x:v>
      </x:c>
      <x:c r="O22" s="47" t="n">
        <x:v>0.55</x:v>
      </x:c>
      <x:c r="P22" s="47" t="n">
        <x:v>0.55</x:v>
      </x:c>
      <x:c r="Q22" s="47" t="n">
        <x:v>0.65</x:v>
      </x:c>
      <x:c r="R22" s="47" t="n">
        <x:v>0.3</x:v>
      </x:c>
      <x:c r="S22" s="47" t="n">
        <x:v>0.65</x:v>
      </x:c>
      <x:c r="T22" s="47" t="str">
        <x:v>Early transition metal; bridge role.</x:v>
      </x:c>
      <x:c r="U22" s="47"/>
      <x:c r="V22" s="47"/>
      <x:c r="W22" s="47"/>
      <x:c r="X22" s="47"/>
      <x:c r="Y22" s="47"/>
      <x:c r="Z22" s="47"/>
    </x:row>
    <x:row r="23">
      <x:c r="A23" s="47" t="str">
        <x:v>Ti</x:v>
      </x:c>
      <x:c r="B23" s="47" t="n">
        <x:v>22</x:v>
      </x:c>
      <x:c r="C23" s="47" t="str">
        <x:v>Titanium</x:v>
      </x:c>
      <x:c r="D23" s="47" t="n">
        <x:v>4</x:v>
      </x:c>
      <x:c r="E23" s="47" t="n">
        <x:v>4</x:v>
      </x:c>
      <x:c r="F23" s="47" t="str">
        <x:v>transition metal</x:v>
      </x:c>
      <x:c r="G23" s="47" t="str">
        <x:v>3d</x:v>
      </x:c>
      <x:c r="H23" s="47" t="n">
        <x:v>4</x:v>
      </x:c>
      <x:c r="I23" s="47" t="str">
        <x:v>Strong structure</x:v>
      </x:c>
      <x:c r="J23" s="47" t="str">
        <x:v>ᛉ□</x:v>
      </x:c>
      <x:c r="K23" s="47" t="str">
        <x:v>solid</x:v>
      </x:c>
      <x:c r="L23" s="47" t="n">
        <x:v>0.55</x:v>
      </x:c>
      <x:c r="M23" s="47" t="n">
        <x:v>0.35</x:v>
      </x:c>
      <x:c r="N23" s="47" t="n">
        <x:v>0.9</x:v>
      </x:c>
      <x:c r="O23" s="47" t="n">
        <x:v>0.45</x:v>
      </x:c>
      <x:c r="P23" s="47" t="n">
        <x:v>0.7</x:v>
      </x:c>
      <x:c r="Q23" s="47" t="n">
        <x:v>0.75</x:v>
      </x:c>
      <x:c r="R23" s="47" t="n">
        <x:v>0.2</x:v>
      </x:c>
      <x:c r="S23" s="47" t="n">
        <x:v>0.8</x:v>
      </x:c>
      <x:c r="T23" s="47" t="str">
        <x:v>High strength, protective oxide; stable gate material.</x:v>
      </x:c>
      <x:c r="U23" s="47"/>
      <x:c r="V23" s="47"/>
      <x:c r="W23" s="47"/>
      <x:c r="X23" s="47"/>
      <x:c r="Y23" s="47"/>
      <x:c r="Z23" s="47"/>
    </x:row>
    <x:row r="24">
      <x:c r="A24" s="47" t="str">
        <x:v>V</x:v>
      </x:c>
      <x:c r="B24" s="47" t="n">
        <x:v>23</x:v>
      </x:c>
      <x:c r="C24" s="47" t="str">
        <x:v>Vanadium</x:v>
      </x:c>
      <x:c r="D24" s="47" t="n">
        <x:v>4</x:v>
      </x:c>
      <x:c r="E24" s="47" t="n">
        <x:v>5</x:v>
      </x:c>
      <x:c r="F24" s="47" t="str">
        <x:v>transition metal</x:v>
      </x:c>
      <x:c r="G24" s="47" t="str">
        <x:v>3d</x:v>
      </x:c>
      <x:c r="H24" s="47" t="n">
        <x:v>5</x:v>
      </x:c>
      <x:c r="I24" s="47" t="str">
        <x:v>Multi-state gate</x:v>
      </x:c>
      <x:c r="J24" s="47" t="str">
        <x:v>◎↺</x:v>
      </x:c>
      <x:c r="K24" s="47" t="str">
        <x:v>solid</x:v>
      </x:c>
      <x:c r="L24" s="47" t="n">
        <x:v>0.65</x:v>
      </x:c>
      <x:c r="M24" s="47" t="n">
        <x:v>0.45</x:v>
      </x:c>
      <x:c r="N24" s="47" t="n">
        <x:v>0.75</x:v>
      </x:c>
      <x:c r="O24" s="47" t="n">
        <x:v>0.7</x:v>
      </x:c>
      <x:c r="P24" s="47" t="n">
        <x:v>0.65</x:v>
      </x:c>
      <x:c r="Q24" s="47" t="n">
        <x:v>0.65</x:v>
      </x:c>
      <x:c r="R24" s="47" t="n">
        <x:v>0.45</x:v>
      </x:c>
      <x:c r="S24" s="47" t="n">
        <x:v>0.6</x:v>
      </x:c>
      <x:c r="T24" s="47" t="str">
        <x:v>Multiple oxidation states; transition router.</x:v>
      </x:c>
      <x:c r="U24" s="47"/>
      <x:c r="V24" s="47"/>
      <x:c r="W24" s="47"/>
      <x:c r="X24" s="47"/>
      <x:c r="Y24" s="47"/>
      <x:c r="Z24" s="47"/>
    </x:row>
    <x:row r="25">
      <x:c r="A25" s="47" t="str">
        <x:v>Cr</x:v>
      </x:c>
      <x:c r="B25" s="47" t="n">
        <x:v>24</x:v>
      </x:c>
      <x:c r="C25" s="47" t="str">
        <x:v>Chromium</x:v>
      </x:c>
      <x:c r="D25" s="47" t="n">
        <x:v>4</x:v>
      </x:c>
      <x:c r="E25" s="47" t="n">
        <x:v>6</x:v>
      </x:c>
      <x:c r="F25" s="47" t="str">
        <x:v>transition metal</x:v>
      </x:c>
      <x:c r="G25" s="47" t="str">
        <x:v>3d</x:v>
      </x:c>
      <x:c r="H25" s="47" t="n">
        <x:v>6</x:v>
      </x:c>
      <x:c r="I25" s="47" t="str">
        <x:v>Surface guardian</x:v>
      </x:c>
      <x:c r="J25" s="47" t="str">
        <x:v>ᛉ◎</x:v>
      </x:c>
      <x:c r="K25" s="47" t="str">
        <x:v>solid</x:v>
      </x:c>
      <x:c r="L25" s="47" t="n">
        <x:v>0.6</x:v>
      </x:c>
      <x:c r="M25" s="47" t="n">
        <x:v>0.45</x:v>
      </x:c>
      <x:c r="N25" s="47" t="n">
        <x:v>0.85</x:v>
      </x:c>
      <x:c r="O25" s="47" t="n">
        <x:v>0.45</x:v>
      </x:c>
      <x:c r="P25" s="47" t="n">
        <x:v>0.8</x:v>
      </x:c>
      <x:c r="Q25" s="47" t="n">
        <x:v>0.75</x:v>
      </x:c>
      <x:c r="R25" s="47" t="n">
        <x:v>0.35</x:v>
      </x:c>
      <x:c r="S25" s="47" t="n">
        <x:v>0.7</x:v>
      </x:c>
      <x:c r="T25" s="47" t="str">
        <x:v>Protective surface / oxidation state complexity.</x:v>
      </x:c>
      <x:c r="U25" s="47"/>
      <x:c r="V25" s="47"/>
      <x:c r="W25" s="47"/>
      <x:c r="X25" s="47"/>
      <x:c r="Y25" s="47"/>
      <x:c r="Z25" s="47"/>
    </x:row>
    <x:row r="26">
      <x:c r="A26" s="47" t="str">
        <x:v>Mn</x:v>
      </x:c>
      <x:c r="B26" s="47" t="n">
        <x:v>25</x:v>
      </x:c>
      <x:c r="C26" s="47" t="str">
        <x:v>Manganese</x:v>
      </x:c>
      <x:c r="D26" s="47" t="n">
        <x:v>4</x:v>
      </x:c>
      <x:c r="E26" s="47" t="n">
        <x:v>7</x:v>
      </x:c>
      <x:c r="F26" s="47" t="str">
        <x:v>transition metal</x:v>
      </x:c>
      <x:c r="G26" s="47" t="str">
        <x:v>3d</x:v>
      </x:c>
      <x:c r="H26" s="47" t="n">
        <x:v>7</x:v>
      </x:c>
      <x:c r="I26" s="47" t="str">
        <x:v>Redox archer</x:v>
      </x:c>
      <x:c r="J26" s="47" t="str">
        <x:v>ᛏ↺</x:v>
      </x:c>
      <x:c r="K26" s="47" t="str">
        <x:v>solid</x:v>
      </x:c>
      <x:c r="L26" s="47" t="n">
        <x:v>0.75</x:v>
      </x:c>
      <x:c r="M26" s="47" t="n">
        <x:v>0.55</x:v>
      </x:c>
      <x:c r="N26" s="47" t="n">
        <x:v>0.65</x:v>
      </x:c>
      <x:c r="O26" s="47" t="n">
        <x:v>0.8</x:v>
      </x:c>
      <x:c r="P26" s="47" t="n">
        <x:v>0.55</x:v>
      </x:c>
      <x:c r="Q26" s="47" t="n">
        <x:v>0.65</x:v>
      </x:c>
      <x:c r="R26" s="47" t="n">
        <x:v>0.55</x:v>
      </x:c>
      <x:c r="S26" s="47" t="n">
        <x:v>0.55</x:v>
      </x:c>
      <x:c r="T26" s="47" t="str">
        <x:v>Many redox states; high transition activity.</x:v>
      </x:c>
      <x:c r="U26" s="47"/>
      <x:c r="V26" s="47"/>
      <x:c r="W26" s="47"/>
      <x:c r="X26" s="47"/>
      <x:c r="Y26" s="47"/>
      <x:c r="Z26" s="47"/>
    </x:row>
    <x:row r="27">
      <x:c r="A27" s="47" t="str">
        <x:v>Fe</x:v>
      </x:c>
      <x:c r="B27" s="47" t="n">
        <x:v>26</x:v>
      </x:c>
      <x:c r="C27" s="47" t="str">
        <x:v>Iron</x:v>
      </x:c>
      <x:c r="D27" s="47" t="n">
        <x:v>4</x:v>
      </x:c>
      <x:c r="E27" s="47" t="n">
        <x:v>8</x:v>
      </x:c>
      <x:c r="F27" s="47" t="str">
        <x:v>transition metal</x:v>
      </x:c>
      <x:c r="G27" s="47" t="str">
        <x:v>3d</x:v>
      </x:c>
      <x:c r="H27" s="47" t="n">
        <x:v>8</x:v>
      </x:c>
      <x:c r="I27" s="47" t="str">
        <x:v>Tank memory</x:v>
      </x:c>
      <x:c r="J27" s="47" t="str">
        <x:v>ᛉ◉</x:v>
      </x:c>
      <x:c r="K27" s="47" t="str">
        <x:v>solid</x:v>
      </x:c>
      <x:c r="L27" s="47" t="n">
        <x:v>0.65</x:v>
      </x:c>
      <x:c r="M27" s="47" t="n">
        <x:v>0.55</x:v>
      </x:c>
      <x:c r="N27" s="47" t="n">
        <x:v>0.9</x:v>
      </x:c>
      <x:c r="O27" s="47" t="n">
        <x:v>0.65</x:v>
      </x:c>
      <x:c r="P27" s="47" t="n">
        <x:v>0.65</x:v>
      </x:c>
      <x:c r="Q27" s="47" t="n">
        <x:v>0.95</x:v>
      </x:c>
      <x:c r="R27" s="47" t="n">
        <x:v>0.35</x:v>
      </x:c>
      <x:c r="S27" s="47" t="n">
        <x:v>0.75</x:v>
      </x:c>
      <x:c r="T27" s="47" t="str">
        <x:v>Structure, magnetism, redox, blood; memory of field.</x:v>
      </x:c>
      <x:c r="U27" s="47"/>
      <x:c r="V27" s="47"/>
      <x:c r="W27" s="47"/>
      <x:c r="X27" s="47"/>
      <x:c r="Y27" s="47"/>
      <x:c r="Z27" s="47"/>
    </x:row>
    <x:row r="28">
      <x:c r="A28" s="47" t="str">
        <x:v>Co</x:v>
      </x:c>
      <x:c r="B28" s="47" t="n">
        <x:v>27</x:v>
      </x:c>
      <x:c r="C28" s="47" t="str">
        <x:v>Cobalt</x:v>
      </x:c>
      <x:c r="D28" s="47" t="n">
        <x:v>4</x:v>
      </x:c>
      <x:c r="E28" s="47" t="n">
        <x:v>9</x:v>
      </x:c>
      <x:c r="F28" s="47" t="str">
        <x:v>transition metal</x:v>
      </x:c>
      <x:c r="G28" s="47" t="str">
        <x:v>3d</x:v>
      </x:c>
      <x:c r="H28" s="47" t="n">
        <x:v>9</x:v>
      </x:c>
      <x:c r="I28" s="47" t="str">
        <x:v>Magnetic bridge</x:v>
      </x:c>
      <x:c r="J28" s="47" t="str">
        <x:v>◉ᛉ</x:v>
      </x:c>
      <x:c r="K28" s="47" t="str">
        <x:v>solid</x:v>
      </x:c>
      <x:c r="L28" s="47" t="n">
        <x:v>0.6</x:v>
      </x:c>
      <x:c r="M28" s="47" t="n">
        <x:v>0.5</x:v>
      </x:c>
      <x:c r="N28" s="47" t="n">
        <x:v>0.85</x:v>
      </x:c>
      <x:c r="O28" s="47" t="n">
        <x:v>0.6</x:v>
      </x:c>
      <x:c r="P28" s="47" t="n">
        <x:v>0.65</x:v>
      </x:c>
      <x:c r="Q28" s="47" t="n">
        <x:v>0.9</x:v>
      </x:c>
      <x:c r="R28" s="47" t="n">
        <x:v>0.35</x:v>
      </x:c>
      <x:c r="S28" s="47" t="n">
        <x:v>0.7</x:v>
      </x:c>
      <x:c r="T28" s="47" t="str">
        <x:v>Magnetic and catalytic roles.</x:v>
      </x:c>
      <x:c r="U28" s="47"/>
      <x:c r="V28" s="47"/>
      <x:c r="W28" s="47"/>
      <x:c r="X28" s="47"/>
      <x:c r="Y28" s="47"/>
      <x:c r="Z28" s="47"/>
    </x:row>
    <x:row r="29">
      <x:c r="A29" s="47" t="str">
        <x:v>Ni</x:v>
      </x:c>
      <x:c r="B29" s="47" t="n">
        <x:v>28</x:v>
      </x:c>
      <x:c r="C29" s="47" t="str">
        <x:v>Nickel</x:v>
      </x:c>
      <x:c r="D29" s="47" t="n">
        <x:v>4</x:v>
      </x:c>
      <x:c r="E29" s="47" t="n">
        <x:v>10</x:v>
      </x:c>
      <x:c r="F29" s="47" t="str">
        <x:v>transition metal</x:v>
      </x:c>
      <x:c r="G29" s="47" t="str">
        <x:v>3d</x:v>
      </x:c>
      <x:c r="H29" s="47" t="n">
        <x:v>10</x:v>
      </x:c>
      <x:c r="I29" s="47" t="str">
        <x:v>Catalytic guard</x:v>
      </x:c>
      <x:c r="J29" s="47" t="str">
        <x:v>◎↺</x:v>
      </x:c>
      <x:c r="K29" s="47" t="str">
        <x:v>solid</x:v>
      </x:c>
      <x:c r="L29" s="47" t="n">
        <x:v>0.55</x:v>
      </x:c>
      <x:c r="M29" s="47" t="n">
        <x:v>0.55</x:v>
      </x:c>
      <x:c r="N29" s="47" t="n">
        <x:v>0.85</x:v>
      </x:c>
      <x:c r="O29" s="47" t="n">
        <x:v>0.65</x:v>
      </x:c>
      <x:c r="P29" s="47" t="n">
        <x:v>0.7</x:v>
      </x:c>
      <x:c r="Q29" s="47" t="n">
        <x:v>0.8</x:v>
      </x:c>
      <x:c r="R29" s="47" t="n">
        <x:v>0.3</x:v>
      </x:c>
      <x:c r="S29" s="47" t="n">
        <x:v>0.75</x:v>
      </x:c>
      <x:c r="T29" s="47" t="str">
        <x:v>Catalysis, alloys, gate surfaces.</x:v>
      </x:c>
      <x:c r="U29" s="47"/>
      <x:c r="V29" s="47"/>
      <x:c r="W29" s="47"/>
      <x:c r="X29" s="47"/>
      <x:c r="Y29" s="47"/>
      <x:c r="Z29" s="47"/>
    </x:row>
    <x:row r="30">
      <x:c r="A30" s="47" t="str">
        <x:v>Cu</x:v>
      </x:c>
      <x:c r="B30" s="47" t="n">
        <x:v>29</x:v>
      </x:c>
      <x:c r="C30" s="47" t="str">
        <x:v>Copper</x:v>
      </x:c>
      <x:c r="D30" s="47" t="n">
        <x:v>4</x:v>
      </x:c>
      <x:c r="E30" s="47" t="n">
        <x:v>11</x:v>
      </x:c>
      <x:c r="F30" s="47" t="str">
        <x:v>transition metal</x:v>
      </x:c>
      <x:c r="G30" s="47" t="str">
        <x:v>3d/4s</x:v>
      </x:c>
      <x:c r="H30" s="47" t="n">
        <x:v>1</x:v>
      </x:c>
      <x:c r="I30" s="47" t="str">
        <x:v>Conductor flow</x:v>
      </x:c>
      <x:c r="J30" s="47" t="str">
        <x:v>↺ᛏ</x:v>
      </x:c>
      <x:c r="K30" s="47" t="str">
        <x:v>solid</x:v>
      </x:c>
      <x:c r="L30" s="47" t="n">
        <x:v>0.6</x:v>
      </x:c>
      <x:c r="M30" s="47" t="n">
        <x:v>0.55</x:v>
      </x:c>
      <x:c r="N30" s="47" t="n">
        <x:v>0.75</x:v>
      </x:c>
      <x:c r="O30" s="47" t="n">
        <x:v>0.95</x:v>
      </x:c>
      <x:c r="P30" s="47" t="n">
        <x:v>0.6</x:v>
      </x:c>
      <x:c r="Q30" s="47" t="n">
        <x:v>0.8</x:v>
      </x:c>
      <x:c r="R30" s="47" t="n">
        <x:v>0.25</x:v>
      </x:c>
      <x:c r="S30" s="47" t="n">
        <x:v>0.75</x:v>
      </x:c>
      <x:c r="T30" s="47" t="str">
        <x:v>Conduction and redox flow.</x:v>
      </x:c>
      <x:c r="U30" s="47"/>
      <x:c r="V30" s="47"/>
      <x:c r="W30" s="47"/>
      <x:c r="X30" s="47"/>
      <x:c r="Y30" s="47"/>
      <x:c r="Z30" s="47"/>
    </x:row>
    <x:row r="31">
      <x:c r="A31" s="47" t="str">
        <x:v>Zn</x:v>
      </x:c>
      <x:c r="B31" s="47" t="n">
        <x:v>30</x:v>
      </x:c>
      <x:c r="C31" s="47" t="str">
        <x:v>Zinc</x:v>
      </x:c>
      <x:c r="D31" s="47" t="n">
        <x:v>4</x:v>
      </x:c>
      <x:c r="E31" s="47" t="n">
        <x:v>12</x:v>
      </x:c>
      <x:c r="F31" s="47" t="str">
        <x:v>transition metal</x:v>
      </x:c>
      <x:c r="G31" s="47" t="str">
        <x:v>3d/4s</x:v>
      </x:c>
      <x:c r="H31" s="47" t="n">
        <x:v>2</x:v>
      </x:c>
      <x:c r="I31" s="47" t="str">
        <x:v>Enzyme stabilizer</x:v>
      </x:c>
      <x:c r="J31" s="47" t="str">
        <x:v>◎□</x:v>
      </x:c>
      <x:c r="K31" s="47" t="str">
        <x:v>solid</x:v>
      </x:c>
      <x:c r="L31" s="47" t="n">
        <x:v>0.4</x:v>
      </x:c>
      <x:c r="M31" s="47" t="n">
        <x:v>0.45</x:v>
      </x:c>
      <x:c r="N31" s="47" t="n">
        <x:v>0.85</x:v>
      </x:c>
      <x:c r="O31" s="47" t="n">
        <x:v>0.55</x:v>
      </x:c>
      <x:c r="P31" s="47" t="n">
        <x:v>0.8</x:v>
      </x:c>
      <x:c r="Q31" s="47" t="n">
        <x:v>0.75</x:v>
      </x:c>
      <x:c r="R31" s="47" t="n">
        <x:v>0.2</x:v>
      </x:c>
      <x:c r="S31" s="47" t="n">
        <x:v>0.85</x:v>
      </x:c>
      <x:c r="T31" s="47" t="str">
        <x:v>Stabilizes biological gates and enzymes.</x:v>
      </x:c>
      <x:c r="U31" s="47"/>
      <x:c r="V31" s="47"/>
      <x:c r="W31" s="47"/>
      <x:c r="X31" s="47"/>
      <x:c r="Y31" s="47"/>
      <x:c r="Z31" s="47"/>
    </x:row>
    <x:row r="32">
      <x:c r="A32" s="47" t="str">
        <x:v>Ga</x:v>
      </x:c>
      <x:c r="B32" s="47" t="n">
        <x:v>31</x:v>
      </x:c>
      <x:c r="C32" s="47" t="str">
        <x:v>Gallium</x:v>
      </x:c>
      <x:c r="D32" s="47" t="n">
        <x:v>4</x:v>
      </x:c>
      <x:c r="E32" s="47" t="n">
        <x:v>13</x:v>
      </x:c>
      <x:c r="F32" s="47" t="str">
        <x:v>post-transition metal</x:v>
      </x:c>
      <x:c r="G32" s="47" t="str">
        <x:v>4p</x:v>
      </x:c>
      <x:c r="H32" s="47" t="n">
        <x:v>3</x:v>
      </x:c>
      <x:c r="I32" s="47" t="str">
        <x:v>Soft form gate</x:v>
      </x:c>
      <x:c r="J32" s="47" t="str">
        <x:v>□↺</x:v>
      </x:c>
      <x:c r="K32" s="47" t="str">
        <x:v>solid/liquid</x:v>
      </x:c>
      <x:c r="L32" s="47" t="n">
        <x:v>0.45</x:v>
      </x:c>
      <x:c r="M32" s="47" t="n">
        <x:v>0.4</x:v>
      </x:c>
      <x:c r="N32" s="47" t="n">
        <x:v>0.7</x:v>
      </x:c>
      <x:c r="O32" s="47" t="n">
        <x:v>0.6</x:v>
      </x:c>
      <x:c r="P32" s="47" t="n">
        <x:v>0.55</x:v>
      </x:c>
      <x:c r="Q32" s="47" t="n">
        <x:v>0.55</x:v>
      </x:c>
      <x:c r="R32" s="47" t="n">
        <x:v>0.3</x:v>
      </x:c>
      <x:c r="S32" s="47" t="n">
        <x:v>0.6</x:v>
      </x:c>
      <x:c r="T32" s="47" t="str">
        <x:v>Low melting point; phase boundary element.</x:v>
      </x:c>
      <x:c r="U32" s="47"/>
      <x:c r="V32" s="47"/>
      <x:c r="W32" s="47"/>
      <x:c r="X32" s="47"/>
      <x:c r="Y32" s="47"/>
      <x:c r="Z32" s="47"/>
    </x:row>
    <x:row r="33">
      <x:c r="A33" s="47" t="str">
        <x:v>Ge</x:v>
      </x:c>
      <x:c r="B33" s="47" t="n">
        <x:v>32</x:v>
      </x:c>
      <x:c r="C33" s="47" t="str">
        <x:v>Germanium</x:v>
      </x:c>
      <x:c r="D33" s="47" t="n">
        <x:v>4</x:v>
      </x:c>
      <x:c r="E33" s="47" t="n">
        <x:v>14</x:v>
      </x:c>
      <x:c r="F33" s="47" t="str">
        <x:v>metalloid</x:v>
      </x:c>
      <x:c r="G33" s="47" t="str">
        <x:v>4p</x:v>
      </x:c>
      <x:c r="H33" s="47" t="n">
        <x:v>4</x:v>
      </x:c>
      <x:c r="I33" s="47" t="str">
        <x:v>Semi lattice</x:v>
      </x:c>
      <x:c r="J33" s="47" t="str">
        <x:v>□◎</x:v>
      </x:c>
      <x:c r="K33" s="47" t="str">
        <x:v>solid</x:v>
      </x:c>
      <x:c r="L33" s="47" t="n">
        <x:v>0.4</x:v>
      </x:c>
      <x:c r="M33" s="47" t="n">
        <x:v>0.45</x:v>
      </x:c>
      <x:c r="N33" s="47" t="n">
        <x:v>0.85</x:v>
      </x:c>
      <x:c r="O33" s="47" t="n">
        <x:v>0.5</x:v>
      </x:c>
      <x:c r="P33" s="47" t="n">
        <x:v>0.65</x:v>
      </x:c>
      <x:c r="Q33" s="47" t="n">
        <x:v>0.75</x:v>
      </x:c>
      <x:c r="R33" s="47" t="n">
        <x:v>0.25</x:v>
      </x:c>
      <x:c r="S33" s="47" t="n">
        <x:v>0.75</x:v>
      </x:c>
      <x:c r="T33" s="47" t="str">
        <x:v>Semiconductor lattice; signal gate.</x:v>
      </x:c>
      <x:c r="U33" s="47"/>
      <x:c r="V33" s="47"/>
      <x:c r="W33" s="47"/>
      <x:c r="X33" s="47"/>
      <x:c r="Y33" s="47"/>
      <x:c r="Z33" s="47"/>
    </x:row>
    <x:row r="34">
      <x:c r="A34" s="47" t="str">
        <x:v>As</x:v>
      </x:c>
      <x:c r="B34" s="47" t="n">
        <x:v>33</x:v>
      </x:c>
      <x:c r="C34" s="47" t="str">
        <x:v>Arsenic</x:v>
      </x:c>
      <x:c r="D34" s="47" t="n">
        <x:v>4</x:v>
      </x:c>
      <x:c r="E34" s="47" t="n">
        <x:v>15</x:v>
      </x:c>
      <x:c r="F34" s="47" t="str">
        <x:v>metalloid</x:v>
      </x:c>
      <x:c r="G34" s="47" t="str">
        <x:v>4p</x:v>
      </x:c>
      <x:c r="H34" s="47" t="n">
        <x:v>3</x:v>
      </x:c>
      <x:c r="I34" s="47" t="str">
        <x:v>Shadow gate</x:v>
      </x:c>
      <x:c r="J34" s="47" t="str">
        <x:v>∅◎</x:v>
      </x:c>
      <x:c r="K34" s="47" t="str">
        <x:v>solid</x:v>
      </x:c>
      <x:c r="L34" s="47" t="n">
        <x:v>0.5</x:v>
      </x:c>
      <x:c r="M34" s="47" t="n">
        <x:v>0.55</x:v>
      </x:c>
      <x:c r="N34" s="47" t="n">
        <x:v>0.65</x:v>
      </x:c>
      <x:c r="O34" s="47" t="n">
        <x:v>0.45</x:v>
      </x:c>
      <x:c r="P34" s="47" t="n">
        <x:v>0.55</x:v>
      </x:c>
      <x:c r="Q34" s="47" t="n">
        <x:v>0.6</x:v>
      </x:c>
      <x:c r="R34" s="47" t="n">
        <x:v>0.75</x:v>
      </x:c>
      <x:c r="S34" s="47" t="n">
        <x:v>0.35</x:v>
      </x:c>
      <x:c r="T34" s="47" t="str">
        <x:v>Toxic threshold; shadow if wrong route.</x:v>
      </x:c>
      <x:c r="U34" s="47"/>
      <x:c r="V34" s="47"/>
      <x:c r="W34" s="47"/>
      <x:c r="X34" s="47"/>
      <x:c r="Y34" s="47"/>
      <x:c r="Z34" s="47"/>
    </x:row>
    <x:row r="35">
      <x:c r="A35" s="47" t="str">
        <x:v>Se</x:v>
      </x:c>
      <x:c r="B35" s="47" t="n">
        <x:v>34</x:v>
      </x:c>
      <x:c r="C35" s="47" t="str">
        <x:v>Selenium</x:v>
      </x:c>
      <x:c r="D35" s="47" t="n">
        <x:v>4</x:v>
      </x:c>
      <x:c r="E35" s="47" t="n">
        <x:v>16</x:v>
      </x:c>
      <x:c r="F35" s="47" t="str">
        <x:v>nonmetal</x:v>
      </x:c>
      <x:c r="G35" s="47" t="str">
        <x:v>4p</x:v>
      </x:c>
      <x:c r="H35" s="47" t="n">
        <x:v>2</x:v>
      </x:c>
      <x:c r="I35" s="47" t="str">
        <x:v>Trace healer</x:v>
      </x:c>
      <x:c r="J35" s="47" t="str">
        <x:v>↺◉</x:v>
      </x:c>
      <x:c r="K35" s="47" t="str">
        <x:v>solid</x:v>
      </x:c>
      <x:c r="L35" s="47" t="n">
        <x:v>0.45</x:v>
      </x:c>
      <x:c r="M35" s="47" t="n">
        <x:v>0.65</x:v>
      </x:c>
      <x:c r="N35" s="47" t="n">
        <x:v>0.65</x:v>
      </x:c>
      <x:c r="O35" s="47" t="n">
        <x:v>0.65</x:v>
      </x:c>
      <x:c r="P35" s="47" t="n">
        <x:v>0.6</x:v>
      </x:c>
      <x:c r="Q35" s="47" t="n">
        <x:v>0.8</x:v>
      </x:c>
      <x:c r="R35" s="47" t="n">
        <x:v>0.4</x:v>
      </x:c>
      <x:c r="S35" s="47" t="n">
        <x:v>0.65</x:v>
      </x:c>
      <x:c r="T35" s="47" t="str">
        <x:v>Trace biological role; too much becomes shadow.</x:v>
      </x:c>
      <x:c r="U35" s="47"/>
      <x:c r="V35" s="47"/>
      <x:c r="W35" s="47"/>
      <x:c r="X35" s="47"/>
      <x:c r="Y35" s="47"/>
      <x:c r="Z35" s="47"/>
    </x:row>
    <x:row r="36">
      <x:c r="A36" s="47" t="str">
        <x:v>Br</x:v>
      </x:c>
      <x:c r="B36" s="47" t="n">
        <x:v>35</x:v>
      </x:c>
      <x:c r="C36" s="47" t="str">
        <x:v>Bromine</x:v>
      </x:c>
      <x:c r="D36" s="47" t="n">
        <x:v>4</x:v>
      </x:c>
      <x:c r="E36" s="47" t="n">
        <x:v>17</x:v>
      </x:c>
      <x:c r="F36" s="47" t="str">
        <x:v>halogen</x:v>
      </x:c>
      <x:c r="G36" s="47" t="str">
        <x:v>4p</x:v>
      </x:c>
      <x:c r="H36" s="47" t="n">
        <x:v>1</x:v>
      </x:c>
      <x:c r="I36" s="47" t="str">
        <x:v>Heavy receiver</x:v>
      </x:c>
      <x:c r="J36" s="47" t="str">
        <x:v>▽∅</x:v>
      </x:c>
      <x:c r="K36" s="47" t="str">
        <x:v>liquid</x:v>
      </x:c>
      <x:c r="L36" s="47" t="n">
        <x:v>0.65</x:v>
      </x:c>
      <x:c r="M36" s="47" t="n">
        <x:v>0.9</x:v>
      </x:c>
      <x:c r="N36" s="47" t="n">
        <x:v>0.45</x:v>
      </x:c>
      <x:c r="O36" s="47" t="n">
        <x:v>0.55</x:v>
      </x:c>
      <x:c r="P36" s="47" t="n">
        <x:v>0.65</x:v>
      </x:c>
      <x:c r="Q36" s="47" t="n">
        <x:v>0.5</x:v>
      </x:c>
      <x:c r="R36" s="47" t="n">
        <x:v>0.55</x:v>
      </x:c>
      <x:c r="S36" s="47" t="n">
        <x:v>0.5</x:v>
      </x:c>
      <x:c r="T36" s="47" t="str">
        <x:v>Receiver with heavier shadow; liquid halogen.</x:v>
      </x:c>
      <x:c r="U36" s="47"/>
      <x:c r="V36" s="47"/>
      <x:c r="W36" s="47"/>
      <x:c r="X36" s="47"/>
      <x:c r="Y36" s="47"/>
      <x:c r="Z36" s="47"/>
    </x:row>
    <x:row r="37">
      <x:c r="A37" s="47" t="str">
        <x:v>Kr</x:v>
      </x:c>
      <x:c r="B37" s="47" t="n">
        <x:v>36</x:v>
      </x:c>
      <x:c r="C37" s="47" t="str">
        <x:v>Krypton</x:v>
      </x:c>
      <x:c r="D37" s="47" t="n">
        <x:v>4</x:v>
      </x:c>
      <x:c r="E37" s="47" t="n">
        <x:v>18</x:v>
      </x:c>
      <x:c r="F37" s="47" t="str">
        <x:v>noble gas</x:v>
      </x:c>
      <x:c r="G37" s="47" t="str">
        <x:v>4p</x:v>
      </x:c>
      <x:c r="H37" s="47" t="n">
        <x:v>0</x:v>
      </x:c>
      <x:c r="I37" s="47" t="str">
        <x:v>Closed Gate light</x:v>
      </x:c>
      <x:c r="J37" s="47" t="str">
        <x:v>◎✓</x:v>
      </x:c>
      <x:c r="K37" s="47" t="str">
        <x:v>gas</x:v>
      </x:c>
      <x:c r="L37" s="47" t="n">
        <x:v>0.05</x:v>
      </x:c>
      <x:c r="M37" s="47" t="n">
        <x:v>0.05</x:v>
      </x:c>
      <x:c r="N37" s="47" t="n">
        <x:v>0.9</x:v>
      </x:c>
      <x:c r="O37" s="47" t="n">
        <x:v>0.05</x:v>
      </x:c>
      <x:c r="P37" s="47" t="n">
        <x:v>1</x:v>
      </x:c>
      <x:c r="Q37" s="47" t="n">
        <x:v>0.9</x:v>
      </x:c>
      <x:c r="R37" s="47" t="n">
        <x:v>0.05</x:v>
      </x:c>
      <x:c r="S37" s="47" t="n">
        <x:v>0.95</x:v>
      </x:c>
      <x:c r="T37" s="47" t="str">
        <x:v>Stable noble gas; rare reactive exceptions under special Gates.</x:v>
      </x:c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conditionalFormatting sqref="L2:L37">
    <x:cfRule type="dataBar" priority="1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{08F995B4-2900-0378-338B-7E1D6816FA72}</x14:id>
        </x:ext>
      </x:extLst>
    </x:cfRule>
  </x:conditionalFormatting>
  <x:conditionalFormatting sqref="M2:M37">
    <x:cfRule type="dataBar" priority="2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{B8AC569E-AB77-EF94-0BD7-FCB2C3D96950}</x14:id>
        </x:ext>
      </x:extLst>
    </x:cfRule>
  </x:conditionalFormatting>
  <x:conditionalFormatting sqref="N2:N37">
    <x:cfRule type="dataBar" priority="3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{47CB1271-5637-4374-63D6-EAFEDA00922A}</x14:id>
        </x:ext>
      </x:extLst>
    </x:cfRule>
  </x:conditionalFormatting>
  <x:conditionalFormatting sqref="O2:O37">
    <x:cfRule type="dataBar" priority="4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{16F1EC5A-F7DB-E988-9AD7-E9EC09F01F29}</x14:id>
        </x:ext>
      </x:extLst>
    </x:cfRule>
  </x:conditionalFormatting>
  <x:conditionalFormatting sqref="P2:P37">
    <x:cfRule type="dataBar" priority="5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{994BCB20-8E91-1BDA-D819-A485E0A8EE79}</x14:id>
        </x:ext>
      </x:extLst>
    </x:cfRule>
  </x:conditionalFormatting>
  <x:conditionalFormatting sqref="Q2:Q37">
    <x:cfRule type="dataBar" priority="6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{5143BFAA-849E-77FF-C2A2-45AFF6AFD425}</x14:id>
        </x:ext>
      </x:extLst>
    </x:cfRule>
  </x:conditionalFormatting>
  <x:conditionalFormatting sqref="R2:R37">
    <x:cfRule type="dataBar" priority="7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{F8C00C2F-420F-86B7-FDBB-922FB352F3F2}</x14:id>
        </x:ext>
      </x:extLst>
    </x:cfRule>
  </x:conditionalFormatting>
  <x:conditionalFormatting sqref="S2:S37">
    <x:cfRule type="dataBar" priority="8">
      <x:dataBar>
        <x:cfvo type="min"/>
        <x:cfvo type="max"/>
        <x:color rgb="A78BFA"/>
      </x:dataBar>
      <x:extLst>
        <x:ext xmlns:x14="http://schemas.microsoft.com/office/spreadsheetml/2009/9/main" uri="{B025F937-C7B1-47D3-B67F-A62EFF666E3E}">
          <x14:id>{015D9192-7C96-0402-3B9C-17828811066E}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2ffed2b99b6447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995B4-2900-0378-338B-7E1D6816FA72}">
            <x14:dataBar gradient="1">
              <x14:cfvo type="min"/>
              <x14:cfvo type="max"/>
              <x14:fillColor rgb="A78BFA"/>
            </x14:dataBar>
          </x14:cfRule>
          <xm:sqref>L2:L37</xm:sqref>
        </x14:conditionalFormatting>
        <x14:conditionalFormatting>
          <x14:cfRule type="dataBar" priority="2" id="{B8AC569E-AB77-EF94-0BD7-FCB2C3D96950}">
            <x14:dataBar gradient="1">
              <x14:cfvo type="min"/>
              <x14:cfvo type="max"/>
              <x14:fillColor rgb="A78BFA"/>
            </x14:dataBar>
          </x14:cfRule>
          <xm:sqref>M2:M37</xm:sqref>
        </x14:conditionalFormatting>
        <x14:conditionalFormatting>
          <x14:cfRule type="dataBar" priority="3" id="{47CB1271-5637-4374-63D6-EAFEDA00922A}">
            <x14:dataBar gradient="1">
              <x14:cfvo type="min"/>
              <x14:cfvo type="max"/>
              <x14:fillColor rgb="A78BFA"/>
            </x14:dataBar>
          </x14:cfRule>
          <xm:sqref>N2:N37</xm:sqref>
        </x14:conditionalFormatting>
        <x14:conditionalFormatting>
          <x14:cfRule type="dataBar" priority="4" id="{16F1EC5A-F7DB-E988-9AD7-E9EC09F01F29}">
            <x14:dataBar gradient="1">
              <x14:cfvo type="min"/>
              <x14:cfvo type="max"/>
              <x14:fillColor rgb="A78BFA"/>
            </x14:dataBar>
          </x14:cfRule>
          <xm:sqref>O2:O37</xm:sqref>
        </x14:conditionalFormatting>
        <x14:conditionalFormatting>
          <x14:cfRule type="dataBar" priority="5" id="{994BCB20-8E91-1BDA-D819-A485E0A8EE79}">
            <x14:dataBar gradient="1">
              <x14:cfvo type="min"/>
              <x14:cfvo type="max"/>
              <x14:fillColor rgb="A78BFA"/>
            </x14:dataBar>
          </x14:cfRule>
          <xm:sqref>P2:P37</xm:sqref>
        </x14:conditionalFormatting>
        <x14:conditionalFormatting>
          <x14:cfRule type="dataBar" priority="6" id="{5143BFAA-849E-77FF-C2A2-45AFF6AFD425}">
            <x14:dataBar gradient="1">
              <x14:cfvo type="min"/>
              <x14:cfvo type="max"/>
              <x14:fillColor rgb="A78BFA"/>
            </x14:dataBar>
          </x14:cfRule>
          <xm:sqref>Q2:Q37</xm:sqref>
        </x14:conditionalFormatting>
        <x14:conditionalFormatting>
          <x14:cfRule type="dataBar" priority="7" id="{F8C00C2F-420F-86B7-FDBB-922FB352F3F2}">
            <x14:dataBar gradient="1">
              <x14:cfvo type="min"/>
              <x14:cfvo type="max"/>
              <x14:fillColor rgb="A78BFA"/>
            </x14:dataBar>
          </x14:cfRule>
          <xm:sqref>R2:R37</xm:sqref>
        </x14:conditionalFormatting>
        <x14:conditionalFormatting>
          <x14:cfRule type="dataBar" priority="8" id="{015D9192-7C96-0402-3B9C-17828811066E}">
            <x14:dataBar gradient="1">
              <x14:cfvo type="min"/>
              <x14:cfvo type="max"/>
              <x14:fillColor rgb="A78BFA"/>
            </x14:dataBar>
          </x14:cfRule>
          <xm:sqref>S2:S37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9.420000076293945" hidden="0" customWidth="1"/>
    <x:col min="3" max="3" width="14.800000190734863" hidden="0" customWidth="1"/>
    <x:col min="4" max="4" width="6.860000133514404" hidden="0" customWidth="1"/>
    <x:col min="5" max="5" width="17.229999542236328" hidden="0" customWidth="1"/>
    <x:col min="6" max="6" width="20.860000610351562" hidden="0" customWidth="1"/>
    <x:col min="7" max="7" width="14.9399995803833" hidden="0" customWidth="1"/>
    <x:col min="8" max="8" width="6.590000152587891" hidden="0" customWidth="1"/>
    <x:col min="9" max="9" width="6.590000152587891" hidden="0" customWidth="1"/>
    <x:col min="10" max="10" width="6.190000057220459" hidden="0" customWidth="1"/>
    <x:col min="11" max="11" width="6.730000019073486" hidden="0" customWidth="1"/>
    <x:col min="12" max="12" width="6.190000057220459" hidden="0" customWidth="1"/>
    <x:col min="13" max="13" width="6.730000019073486" hidden="0" customWidth="1"/>
    <x:col min="14" max="14" width="7" hidden="0" customWidth="1"/>
    <x:col min="15" max="15" width="6.730000019073486" hidden="0" customWidth="1"/>
    <x:col min="16" max="16" width="6.730000019073486" hidden="0" customWidth="1"/>
  </x:cols>
  <x:sheetData>
    <x:row r="1">
      <x:c r="A1" s="48" t="str">
        <x:v>Symbol</x:v>
      </x:c>
      <x:c r="B1" s="48" t="str">
        <x:v>Name</x:v>
      </x:c>
      <x:c r="C1" s="48" t="str">
        <x:v>Role</x:v>
      </x:c>
      <x:c r="D1" s="48" t="str">
        <x:v>Rune</x:v>
      </x:c>
      <x:c r="E1" s="48" t="str">
        <x:v>DominantTriangle</x:v>
      </x:c>
      <x:c r="F1" s="48" t="str">
        <x:v>DominantTriangleRole</x:v>
      </x:c>
      <x:c r="G1" s="48" t="str">
        <x:v>DominantRune</x:v>
      </x:c>
      <x:c r="H1" s="48" t="str">
        <x:v>T1 △</x:v>
      </x:c>
      <x:c r="I1" s="48" t="str">
        <x:v>T2 ▽</x:v>
      </x:c>
      <x:c r="J1" s="48" t="str">
        <x:v>T3 ᛏ</x:v>
      </x:c>
      <x:c r="K1" s="48" t="str">
        <x:v>T4 ◉</x:v>
      </x:c>
      <x:c r="L1" s="48" t="str">
        <x:v>T5 □</x:v>
      </x:c>
      <x:c r="M1" s="48" t="str">
        <x:v>T6 ◎</x:v>
      </x:c>
      <x:c r="N1" s="48" t="str">
        <x:v>T7 ∅</x:v>
      </x:c>
      <x:c r="O1" s="48" t="str">
        <x:v>T8 ↺</x:v>
      </x:c>
      <x:c r="P1" s="48" t="str">
        <x:v>T9 ✦</x:v>
      </x:c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 t="str">
        <x:v>H</x:v>
      </x:c>
      <x:c r="B2" s="47" t="str">
        <x:v>Hydrogen</x:v>
      </x:c>
      <x:c r="C2" s="47" t="str">
        <x:v>Archer opener</x:v>
      </x:c>
      <x:c r="D2" s="47" t="str">
        <x:v>ᛏ△</x:v>
      </x:c>
      <x:c r="E2" s="47" t="str">
        <x:v>T3</x:v>
      </x:c>
      <x:c r="F2" s="47" t="str">
        <x:v>Archer</x:v>
      </x:c>
      <x:c r="G2" s="47" t="str">
        <x:v>ᛏ</x:v>
      </x:c>
      <x:c r="H2" s="47" t="n">
        <x:v>1.311</x:v>
      </x:c>
      <x:c r="I2" s="47" t="n">
        <x:v>0.832</x:v>
      </x:c>
      <x:c r="J2" s="47" t="n">
        <x:v>1.385</x:v>
      </x:c>
      <x:c r="K2" s="47" t="n">
        <x:v>0.537</x:v>
      </x:c>
      <x:c r="L2" s="47" t="n">
        <x:v>0.699</x:v>
      </x:c>
      <x:c r="M2" s="47" t="n">
        <x:v>0.75</x:v>
      </x:c>
      <x:c r="N2" s="47" t="n">
        <x:v>0.875</x:v>
      </x:c>
      <x:c r="O2" s="47" t="n">
        <x:v>1.088</x:v>
      </x:c>
      <x:c r="P2" s="47" t="n">
        <x:v>0.879</x:v>
      </x:c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 t="str">
        <x:v>He</x:v>
      </x:c>
      <x:c r="B3" s="47" t="str">
        <x:v>Helium</x:v>
      </x:c>
      <x:c r="C3" s="47" t="str">
        <x:v>Closed Gate</x:v>
      </x:c>
      <x:c r="D3" s="47" t="str">
        <x:v>◎✓</x:v>
      </x:c>
      <x:c r="E3" s="47" t="str">
        <x:v>T9</x:v>
      </x:c>
      <x:c r="F3" s="47" t="str">
        <x:v>Bindu</x:v>
      </x:c>
      <x:c r="G3" s="47" t="str">
        <x:v>✦</x:v>
      </x:c>
      <x:c r="H3" s="47" t="n">
        <x:v>0.409</x:v>
      </x:c>
      <x:c r="I3" s="47" t="n">
        <x:v>0.638</x:v>
      </x:c>
      <x:c r="J3" s="47" t="n">
        <x:v>0.596</x:v>
      </x:c>
      <x:c r="K3" s="47" t="n">
        <x:v>1.657</x:v>
      </x:c>
      <x:c r="L3" s="47" t="n">
        <x:v>1.667</x:v>
      </x:c>
      <x:c r="M3" s="47" t="n">
        <x:v>1.701</x:v>
      </x:c>
      <x:c r="N3" s="47" t="n">
        <x:v>0.712</x:v>
      </x:c>
      <x:c r="O3" s="47" t="n">
        <x:v>1.425</x:v>
      </x:c>
      <x:c r="P3" s="47" t="n">
        <x:v>1.708</x:v>
      </x:c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7" t="str">
        <x:v>Li</x:v>
      </x:c>
      <x:c r="B4" s="47" t="str">
        <x:v>Lithium</x:v>
      </x:c>
      <x:c r="C4" s="47" t="str">
        <x:v>Donor opener</x:v>
      </x:c>
      <x:c r="D4" s="47" t="str">
        <x:v>△ᛏ</x:v>
      </x:c>
      <x:c r="E4" s="47" t="str">
        <x:v>T1</x:v>
      </x:c>
      <x:c r="F4" s="47" t="str">
        <x:v>Activator</x:v>
      </x:c>
      <x:c r="G4" s="47" t="str">
        <x:v>△</x:v>
      </x:c>
      <x:c r="H4" s="47" t="n">
        <x:v>1.179</x:v>
      </x:c>
      <x:c r="I4" s="47" t="n">
        <x:v>0.693</x:v>
      </x:c>
      <x:c r="J4" s="47" t="n">
        <x:v>1.173</x:v>
      </x:c>
      <x:c r="K4" s="47" t="n">
        <x:v>0.645</x:v>
      </x:c>
      <x:c r="L4" s="47" t="n">
        <x:v>0.77</x:v>
      </x:c>
      <x:c r="M4" s="47" t="n">
        <x:v>0.76</x:v>
      </x:c>
      <x:c r="N4" s="47" t="n">
        <x:v>0.985</x:v>
      </x:c>
      <x:c r="O4" s="47" t="n">
        <x:v>0.999</x:v>
      </x:c>
      <x:c r="P4" s="47" t="n">
        <x:v>0.866</x:v>
      </x:c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7" t="str">
        <x:v>Be</x:v>
      </x:c>
      <x:c r="B5" s="47" t="str">
        <x:v>Beryllium</x:v>
      </x:c>
      <x:c r="C5" s="47" t="str">
        <x:v>Structure donor</x:v>
      </x:c>
      <x:c r="D5" s="47" t="str">
        <x:v>□△</x:v>
      </x:c>
      <x:c r="E5" s="47" t="str">
        <x:v>T5</x:v>
      </x:c>
      <x:c r="F5" s="47" t="str">
        <x:v>Engineer</x:v>
      </x:c>
      <x:c r="G5" s="47" t="str">
        <x:v>□</x:v>
      </x:c>
      <x:c r="H5" s="47" t="n">
        <x:v>0.907</x:v>
      </x:c>
      <x:c r="I5" s="47" t="n">
        <x:v>0.735</x:v>
      </x:c>
      <x:c r="J5" s="47" t="n">
        <x:v>0.977</x:v>
      </x:c>
      <x:c r="K5" s="47" t="n">
        <x:v>1.102</x:v>
      </x:c>
      <x:c r="L5" s="47" t="n">
        <x:v>1.208</x:v>
      </x:c>
      <x:c r="M5" s="47" t="n">
        <x:v>1.105</x:v>
      </x:c>
      <x:c r="N5" s="47" t="n">
        <x:v>0.952</x:v>
      </x:c>
      <x:c r="O5" s="47" t="n">
        <x:v>1.176</x:v>
      </x:c>
      <x:c r="P5" s="47" t="n">
        <x:v>1.208</x:v>
      </x:c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7" t="str">
        <x:v>B</x:v>
      </x:c>
      <x:c r="B6" s="47" t="str">
        <x:v>Boron</x:v>
      </x:c>
      <x:c r="C6" s="47" t="str">
        <x:v>Triangle former</x:v>
      </x:c>
      <x:c r="D6" s="47" t="str">
        <x:v>△□</x:v>
      </x:c>
      <x:c r="E6" s="47" t="str">
        <x:v>T5</x:v>
      </x:c>
      <x:c r="F6" s="47" t="str">
        <x:v>Engineer</x:v>
      </x:c>
      <x:c r="G6" s="47" t="str">
        <x:v>□</x:v>
      </x:c>
      <x:c r="H6" s="47" t="n">
        <x:v>0.881</x:v>
      </x:c>
      <x:c r="I6" s="47" t="n">
        <x:v>0.963</x:v>
      </x:c>
      <x:c r="J6" s="47" t="n">
        <x:v>0.997</x:v>
      </x:c>
      <x:c r="K6" s="47" t="n">
        <x:v>1.3</x:v>
      </x:c>
      <x:c r="L6" s="47" t="n">
        <x:v>1.409</x:v>
      </x:c>
      <x:c r="M6" s="47" t="n">
        <x:v>1.286</x:v>
      </x:c>
      <x:c r="N6" s="47" t="n">
        <x:v>0.968</x:v>
      </x:c>
      <x:c r="O6" s="47" t="n">
        <x:v>1.333</x:v>
      </x:c>
      <x:c r="P6" s="47" t="n">
        <x:v>1.397</x:v>
      </x:c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7" t="str">
        <x:v>C</x:v>
      </x:c>
      <x:c r="B7" s="47" t="str">
        <x:v>Carbon</x:v>
      </x:c>
      <x:c r="C7" s="47" t="str">
        <x:v>Engineer grammar</x:v>
      </x:c>
      <x:c r="D7" s="47" t="str">
        <x:v>□◉</x:v>
      </x:c>
      <x:c r="E7" s="47" t="str">
        <x:v>T9</x:v>
      </x:c>
      <x:c r="F7" s="47" t="str">
        <x:v>Bindu</x:v>
      </x:c>
      <x:c r="G7" s="47" t="str">
        <x:v>✦</x:v>
      </x:c>
      <x:c r="H7" s="47" t="n">
        <x:v>1.009</x:v>
      </x:c>
      <x:c r="I7" s="47" t="n">
        <x:v>1.154</x:v>
      </x:c>
      <x:c r="J7" s="47" t="n">
        <x:v>1.325</x:v>
      </x:c>
      <x:c r="K7" s="47" t="n">
        <x:v>1.799</x:v>
      </x:c>
      <x:c r="L7" s="47" t="n">
        <x:v>1.87</x:v>
      </x:c>
      <x:c r="M7" s="47" t="n">
        <x:v>1.701</x:v>
      </x:c>
      <x:c r="N7" s="47" t="n">
        <x:v>1.168</x:v>
      </x:c>
      <x:c r="O7" s="47" t="n">
        <x:v>1.821</x:v>
      </x:c>
      <x:c r="P7" s="47" t="n">
        <x:v>1.874</x:v>
      </x:c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7" t="str">
        <x:v>N</x:v>
      </x:c>
      <x:c r="B8" s="47" t="str">
        <x:v>Nitrogen</x:v>
      </x:c>
      <x:c r="C8" s="47" t="str">
        <x:v>Bridge guardian</x:v>
      </x:c>
      <x:c r="D8" s="47" t="str">
        <x:v>◎ᛉ</x:v>
      </x:c>
      <x:c r="E8" s="47" t="str">
        <x:v>T8</x:v>
      </x:c>
      <x:c r="F8" s="47" t="str">
        <x:v>Healer</x:v>
      </x:c>
      <x:c r="G8" s="47" t="str">
        <x:v>↺</x:v>
      </x:c>
      <x:c r="H8" s="47" t="n">
        <x:v>1.009</x:v>
      </x:c>
      <x:c r="I8" s="47" t="n">
        <x:v>1.314</x:v>
      </x:c>
      <x:c r="J8" s="47" t="n">
        <x:v>1.253</x:v>
      </x:c>
      <x:c r="K8" s="47" t="n">
        <x:v>1.387</x:v>
      </x:c>
      <x:c r="L8" s="47" t="n">
        <x:v>1.524</x:v>
      </x:c>
      <x:c r="M8" s="47" t="n">
        <x:v>1.527</x:v>
      </x:c>
      <x:c r="N8" s="47" t="n">
        <x:v>1.046</x:v>
      </x:c>
      <x:c r="O8" s="47" t="n">
        <x:v>1.621</x:v>
      </x:c>
      <x:c r="P8" s="47" t="n">
        <x:v>1.613</x:v>
      </x:c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 t="str">
        <x:v>O</x:v>
      </x:c>
      <x:c r="B9" s="47" t="str">
        <x:v>Oxygen</x:v>
      </x:c>
      <x:c r="C9" s="47" t="str">
        <x:v>Receiver activator</x:v>
      </x:c>
      <x:c r="D9" s="47" t="str">
        <x:v>▽△</x:v>
      </x:c>
      <x:c r="E9" s="47" t="str">
        <x:v>T8</x:v>
      </x:c>
      <x:c r="F9" s="47" t="str">
        <x:v>Healer</x:v>
      </x:c>
      <x:c r="G9" s="47" t="str">
        <x:v>↺</x:v>
      </x:c>
      <x:c r="H9" s="47" t="n">
        <x:v>1.298</x:v>
      </x:c>
      <x:c r="I9" s="47" t="n">
        <x:v>1.559</x:v>
      </x:c>
      <x:c r="J9" s="47" t="n">
        <x:v>1.489</x:v>
      </x:c>
      <x:c r="K9" s="47" t="n">
        <x:v>1.241</x:v>
      </x:c>
      <x:c r="L9" s="47" t="n">
        <x:v>1.409</x:v>
      </x:c>
      <x:c r="M9" s="47" t="n">
        <x:v>1.446</x:v>
      </x:c>
      <x:c r="N9" s="47" t="n">
        <x:v>1.172</x:v>
      </x:c>
      <x:c r="O9" s="47" t="n">
        <x:v>1.667</x:v>
      </x:c>
      <x:c r="P9" s="47" t="n">
        <x:v>1.555</x:v>
      </x:c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 t="str">
        <x:v>F</x:v>
      </x:c>
      <x:c r="B10" s="47" t="str">
        <x:v>Fluorine</x:v>
      </x:c>
      <x:c r="C10" s="47" t="str">
        <x:v>Strong receiver</x:v>
      </x:c>
      <x:c r="D10" s="47" t="str">
        <x:v>▽◎</x:v>
      </x:c>
      <x:c r="E10" s="47" t="str">
        <x:v>T2</x:v>
      </x:c>
      <x:c r="F10" s="47" t="str">
        <x:v>Receiver</x:v>
      </x:c>
      <x:c r="G10" s="47" t="str">
        <x:v>▽</x:v>
      </x:c>
      <x:c r="H10" s="47" t="n">
        <x:v>1.298</x:v>
      </x:c>
      <x:c r="I10" s="47" t="n">
        <x:v>1.559</x:v>
      </x:c>
      <x:c r="J10" s="47" t="n">
        <x:v>1.381</x:v>
      </x:c>
      <x:c r="K10" s="47" t="n">
        <x:v>1.106</x:v>
      </x:c>
      <x:c r="L10" s="47" t="n">
        <x:v>1.283</x:v>
      </x:c>
      <x:c r="M10" s="47" t="n">
        <x:v>1.379</x:v>
      </x:c>
      <x:c r="N10" s="47" t="n">
        <x:v>1.213</x:v>
      </x:c>
      <x:c r="O10" s="47" t="n">
        <x:v>1.536</x:v>
      </x:c>
      <x:c r="P10" s="47" t="n">
        <x:v>1.439</x:v>
      </x:c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 t="str">
        <x:v>Ne</x:v>
      </x:c>
      <x:c r="B11" s="47" t="str">
        <x:v>Neon</x:v>
      </x:c>
      <x:c r="C11" s="47" t="str">
        <x:v>Closed Gate</x:v>
      </x:c>
      <x:c r="D11" s="47" t="str">
        <x:v>◎✓</x:v>
      </x:c>
      <x:c r="E11" s="47" t="str">
        <x:v>T9</x:v>
      </x:c>
      <x:c r="F11" s="47" t="str">
        <x:v>Bindu</x:v>
      </x:c>
      <x:c r="G11" s="47" t="str">
        <x:v>✦</x:v>
      </x:c>
      <x:c r="H11" s="47" t="n">
        <x:v>0.409</x:v>
      </x:c>
      <x:c r="I11" s="47" t="n">
        <x:v>0.642</x:v>
      </x:c>
      <x:c r="J11" s="47" t="n">
        <x:v>0.604</x:v>
      </x:c>
      <x:c r="K11" s="47" t="n">
        <x:v>1.716</x:v>
      </x:c>
      <x:c r="L11" s="47" t="n">
        <x:v>1.717</x:v>
      </x:c>
      <x:c r="M11" s="47" t="n">
        <x:v>1.731</x:v>
      </x:c>
      <x:c r="N11" s="47" t="n">
        <x:v>0.736</x:v>
      </x:c>
      <x:c r="O11" s="47" t="n">
        <x:v>1.454</x:v>
      </x:c>
      <x:c r="P11" s="47" t="n">
        <x:v>1.747</x:v>
      </x:c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 t="str">
        <x:v>Na</x:v>
      </x:c>
      <x:c r="B12" s="47" t="str">
        <x:v>Sodium</x:v>
      </x:c>
      <x:c r="C12" s="47" t="str">
        <x:v>Strong donor</x:v>
      </x:c>
      <x:c r="D12" s="47" t="str">
        <x:v>△ᛏ</x:v>
      </x:c>
      <x:c r="E12" s="47" t="str">
        <x:v>T1</x:v>
      </x:c>
      <x:c r="F12" s="47" t="str">
        <x:v>Activator</x:v>
      </x:c>
      <x:c r="G12" s="47" t="str">
        <x:v>△</x:v>
      </x:c>
      <x:c r="H12" s="47" t="n">
        <x:v>1.29</x:v>
      </x:c>
      <x:c r="I12" s="47" t="n">
        <x:v>0.685</x:v>
      </x:c>
      <x:c r="J12" s="47" t="n">
        <x:v>1.253</x:v>
      </x:c>
      <x:c r="K12" s="47" t="n">
        <x:v>0.659</x:v>
      </x:c>
      <x:c r="L12" s="47" t="n">
        <x:v>0.798</x:v>
      </x:c>
      <x:c r="M12" s="47" t="n">
        <x:v>0.763</x:v>
      </x:c>
      <x:c r="N12" s="47" t="n">
        <x:v>1.107</x:v>
      </x:c>
      <x:c r="O12" s="47" t="n">
        <x:v>1.022</x:v>
      </x:c>
      <x:c r="P12" s="47" t="n">
        <x:v>0.879</x:v>
      </x:c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 t="str">
        <x:v>Mg</x:v>
      </x:c>
      <x:c r="B13" s="47" t="str">
        <x:v>Magnesium</x:v>
      </x:c>
      <x:c r="C13" s="47" t="str">
        <x:v>Structure donor</x:v>
      </x:c>
      <x:c r="D13" s="47" t="str">
        <x:v>□△</x:v>
      </x:c>
      <x:c r="E13" s="47" t="str">
        <x:v>T5</x:v>
      </x:c>
      <x:c r="F13" s="47" t="str">
        <x:v>Engineer</x:v>
      </x:c>
      <x:c r="G13" s="47" t="str">
        <x:v>□</x:v>
      </x:c>
      <x:c r="H13" s="47" t="n">
        <x:v>1.022</x:v>
      </x:c>
      <x:c r="I13" s="47" t="n">
        <x:v>0.778</x:v>
      </x:c>
      <x:c r="J13" s="47" t="n">
        <x:v>1.081</x:v>
      </x:c>
      <x:c r="K13" s="47" t="n">
        <x:v>1.158</x:v>
      </x:c>
      <x:c r="L13" s="47" t="n">
        <x:v>1.286</x:v>
      </x:c>
      <x:c r="M13" s="47" t="n">
        <x:v>1.158</x:v>
      </x:c>
      <x:c r="N13" s="47" t="n">
        <x:v>1.005</x:v>
      </x:c>
      <x:c r="O13" s="47" t="n">
        <x:v>1.251</x:v>
      </x:c>
      <x:c r="P13" s="47" t="n">
        <x:v>1.284</x:v>
      </x:c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 t="str">
        <x:v>Al</x:v>
      </x:c>
      <x:c r="B14" s="47" t="str">
        <x:v>Aluminium</x:v>
      </x:c>
      <x:c r="C14" s="47" t="str">
        <x:v>Form builder</x:v>
      </x:c>
      <x:c r="D14" s="47" t="str">
        <x:v>□◎</x:v>
      </x:c>
      <x:c r="E14" s="47" t="str">
        <x:v>T5</x:v>
      </x:c>
      <x:c r="F14" s="47" t="str">
        <x:v>Engineer</x:v>
      </x:c>
      <x:c r="G14" s="47" t="str">
        <x:v>□</x:v>
      </x:c>
      <x:c r="H14" s="47" t="n">
        <x:v>0.945</x:v>
      </x:c>
      <x:c r="I14" s="47" t="n">
        <x:v>0.921</x:v>
      </x:c>
      <x:c r="J14" s="47" t="n">
        <x:v>1.069</x:v>
      </x:c>
      <x:c r="K14" s="47" t="n">
        <x:v>1.383</x:v>
      </x:c>
      <x:c r="L14" s="47" t="n">
        <x:v>1.49</x:v>
      </x:c>
      <x:c r="M14" s="47" t="n">
        <x:v>1.359</x:v>
      </x:c>
      <x:c r="N14" s="47" t="n">
        <x:v>0.985</x:v>
      </x:c>
      <x:c r="O14" s="47" t="n">
        <x:v>1.409</x:v>
      </x:c>
      <x:c r="P14" s="47" t="n">
        <x:v>1.489</x:v>
      </x:c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 t="str">
        <x:v>Si</x:v>
      </x:c>
      <x:c r="B15" s="47" t="str">
        <x:v>Silicon</x:v>
      </x:c>
      <x:c r="C15" s="47" t="str">
        <x:v>Lattice engineer</x:v>
      </x:c>
      <x:c r="D15" s="47" t="str">
        <x:v>□◉</x:v>
      </x:c>
      <x:c r="E15" s="47" t="str">
        <x:v>T5</x:v>
      </x:c>
      <x:c r="F15" s="47" t="str">
        <x:v>Engineer</x:v>
      </x:c>
      <x:c r="G15" s="47" t="str">
        <x:v>□</x:v>
      </x:c>
      <x:c r="H15" s="47" t="n">
        <x:v>0.881</x:v>
      </x:c>
      <x:c r="I15" s="47" t="n">
        <x:v>1.078</x:v>
      </x:c>
      <x:c r="J15" s="47" t="n">
        <x:v>1.133</x:v>
      </x:c>
      <x:c r="K15" s="47" t="n">
        <x:v>1.723</x:v>
      </x:c>
      <x:c r="L15" s="47" t="n">
        <x:v>1.785</x:v>
      </x:c>
      <x:c r="M15" s="47" t="n">
        <x:v>1.641</x:v>
      </x:c>
      <x:c r="N15" s="47" t="n">
        <x:v>1.066</x:v>
      </x:c>
      <x:c r="O15" s="47" t="n">
        <x:v>1.68</x:v>
      </x:c>
      <x:c r="P15" s="47" t="n">
        <x:v>1.782</x:v>
      </x:c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 t="str">
        <x:v>P</x:v>
      </x:c>
      <x:c r="B16" s="47" t="str">
        <x:v>Phosphorus</x:v>
      </x:c>
      <x:c r="C16" s="47" t="str">
        <x:v>Energy memory</x:v>
      </x:c>
      <x:c r="D16" s="47" t="str">
        <x:v>◉△</x:v>
      </x:c>
      <x:c r="E16" s="47" t="str">
        <x:v>T8</x:v>
      </x:c>
      <x:c r="F16" s="47" t="str">
        <x:v>Healer</x:v>
      </x:c>
      <x:c r="G16" s="47" t="str">
        <x:v>↺</x:v>
      </x:c>
      <x:c r="H16" s="47" t="n">
        <x:v>1.209</x:v>
      </x:c>
      <x:c r="I16" s="47" t="n">
        <x:v>1.293</x:v>
      </x:c>
      <x:c r="J16" s="47" t="n">
        <x:v>1.421</x:v>
      </x:c>
      <x:c r="K16" s="47" t="n">
        <x:v>1.567</x:v>
      </x:c>
      <x:c r="L16" s="47" t="n">
        <x:v>1.575</x:v>
      </x:c>
      <x:c r="M16" s="47" t="n">
        <x:v>1.54</x:v>
      </x:c>
      <x:c r="N16" s="47" t="n">
        <x:v>1.322</x:v>
      </x:c>
      <x:c r="O16" s="47" t="n">
        <x:v>1.749</x:v>
      </x:c>
      <x:c r="P16" s="47" t="n">
        <x:v>1.689</x:v>
      </x:c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 t="str">
        <x:v>S</x:v>
      </x:c>
      <x:c r="B17" s="47" t="str">
        <x:v>Sulfur</x:v>
      </x:c>
      <x:c r="C17" s="47" t="str">
        <x:v>Connector phase</x:v>
      </x:c>
      <x:c r="D17" s="47" t="str">
        <x:v>↺▽</x:v>
      </x:c>
      <x:c r="E17" s="47" t="str">
        <x:v>T8</x:v>
      </x:c>
      <x:c r="F17" s="47" t="str">
        <x:v>Healer</x:v>
      </x:c>
      <x:c r="G17" s="47" t="str">
        <x:v>↺</x:v>
      </x:c>
      <x:c r="H17" s="47" t="n">
        <x:v>1.09</x:v>
      </x:c>
      <x:c r="I17" s="47" t="n">
        <x:v>1.293</x:v>
      </x:c>
      <x:c r="J17" s="47" t="n">
        <x:v>1.313</x:v>
      </x:c>
      <x:c r="K17" s="47" t="n">
        <x:v>1.397</x:v>
      </x:c>
      <x:c r="L17" s="47" t="n">
        <x:v>1.493</x:v>
      </x:c>
      <x:c r="M17" s="47" t="n">
        <x:v>1.426</x:v>
      </x:c>
      <x:c r="N17" s="47" t="n">
        <x:v>1.164</x:v>
      </x:c>
      <x:c r="O17" s="47" t="n">
        <x:v>1.608</x:v>
      </x:c>
      <x:c r="P17" s="47" t="n">
        <x:v>1.555</x:v>
      </x:c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 t="str">
        <x:v>Cl</x:v>
      </x:c>
      <x:c r="B18" s="47" t="str">
        <x:v>Chlorine</x:v>
      </x:c>
      <x:c r="C18" s="47" t="str">
        <x:v>Receiver closure</x:v>
      </x:c>
      <x:c r="D18" s="47" t="str">
        <x:v>▽◎</x:v>
      </x:c>
      <x:c r="E18" s="47" t="str">
        <x:v>T8</x:v>
      </x:c>
      <x:c r="F18" s="47" t="str">
        <x:v>Healer</x:v>
      </x:c>
      <x:c r="G18" s="47" t="str">
        <x:v>↺</x:v>
      </x:c>
      <x:c r="H18" s="47" t="n">
        <x:v>1.23</x:v>
      </x:c>
      <x:c r="I18" s="47" t="n">
        <x:v>1.504</x:v>
      </x:c>
      <x:c r="J18" s="47" t="n">
        <x:v>1.325</x:v>
      </x:c>
      <x:c r="K18" s="47" t="n">
        <x:v>1.168</x:v>
      </x:c>
      <x:c r="L18" s="47" t="n">
        <x:v>1.331</x:v>
      </x:c>
      <x:c r="M18" s="47" t="n">
        <x:v>1.41</x:v>
      </x:c>
      <x:c r="N18" s="47" t="n">
        <x:v>1.168</x:v>
      </x:c>
      <x:c r="O18" s="47" t="n">
        <x:v>1.54</x:v>
      </x:c>
      <x:c r="P18" s="47" t="n">
        <x:v>1.474</x:v>
      </x:c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 t="str">
        <x:v>Ar</x:v>
      </x:c>
      <x:c r="B19" s="47" t="str">
        <x:v>Argon</x:v>
      </x:c>
      <x:c r="C19" s="47" t="str">
        <x:v>Closed Gate</x:v>
      </x:c>
      <x:c r="D19" s="47" t="str">
        <x:v>◎✓</x:v>
      </x:c>
      <x:c r="E19" s="47" t="str">
        <x:v>T9</x:v>
      </x:c>
      <x:c r="F19" s="47" t="str">
        <x:v>Bindu</x:v>
      </x:c>
      <x:c r="G19" s="47" t="str">
        <x:v>✦</x:v>
      </x:c>
      <x:c r="H19" s="47" t="n">
        <x:v>0.409</x:v>
      </x:c>
      <x:c r="I19" s="47" t="n">
        <x:v>0.642</x:v>
      </x:c>
      <x:c r="J19" s="47" t="n">
        <x:v>0.604</x:v>
      </x:c>
      <x:c r="K19" s="47" t="n">
        <x:v>1.716</x:v>
      </x:c>
      <x:c r="L19" s="47" t="n">
        <x:v>1.717</x:v>
      </x:c>
      <x:c r="M19" s="47" t="n">
        <x:v>1.731</x:v>
      </x:c>
      <x:c r="N19" s="47" t="n">
        <x:v>0.736</x:v>
      </x:c>
      <x:c r="O19" s="47" t="n">
        <x:v>1.454</x:v>
      </x:c>
      <x:c r="P19" s="47" t="n">
        <x:v>1.747</x:v>
      </x:c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 t="str">
        <x:v>K</x:v>
      </x:c>
      <x:c r="B20" s="47" t="str">
        <x:v>Potassium</x:v>
      </x:c>
      <x:c r="C20" s="47" t="str">
        <x:v>Heavy opener</x:v>
      </x:c>
      <x:c r="D20" s="47" t="str">
        <x:v>△ᛏ</x:v>
      </x:c>
      <x:c r="E20" s="47" t="str">
        <x:v>T1</x:v>
      </x:c>
      <x:c r="F20" s="47" t="str">
        <x:v>Activator</x:v>
      </x:c>
      <x:c r="G20" s="47" t="str">
        <x:v>△</x:v>
      </x:c>
      <x:c r="H20" s="47" t="n">
        <x:v>1.353</x:v>
      </x:c>
      <x:c r="I20" s="47" t="n">
        <x:v>0.697</x:v>
      </x:c>
      <x:c r="J20" s="47" t="n">
        <x:v>1.309</x:v>
      </x:c>
      <x:c r="K20" s="47" t="n">
        <x:v>0.673</x:v>
      </x:c>
      <x:c r="L20" s="47" t="n">
        <x:v>0.794</x:v>
      </x:c>
      <x:c r="M20" s="47" t="n">
        <x:v>0.743</x:v>
      </x:c>
      <x:c r="N20" s="47" t="n">
        <x:v>1.221</x:v>
      </x:c>
      <x:c r="O20" s="47" t="n">
        <x:v>1.042</x:v>
      </x:c>
      <x:c r="P20" s="47" t="n">
        <x:v>0.868</x:v>
      </x:c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 t="str">
        <x:v>Ca</x:v>
      </x:c>
      <x:c r="B21" s="47" t="str">
        <x:v>Calcium</x:v>
      </x:c>
      <x:c r="C21" s="47" t="str">
        <x:v>Tank structure</x:v>
      </x:c>
      <x:c r="D21" s="47" t="str">
        <x:v>ᛉ□</x:v>
      </x:c>
      <x:c r="E21" s="47" t="str">
        <x:v>T9</x:v>
      </x:c>
      <x:c r="F21" s="47" t="str">
        <x:v>Bindu</x:v>
      </x:c>
      <x:c r="G21" s="47" t="str">
        <x:v>✦</x:v>
      </x:c>
      <x:c r="H21" s="47" t="n">
        <x:v>0.987</x:v>
      </x:c>
      <x:c r="I21" s="47" t="n">
        <x:v>0.849</x:v>
      </x:c>
      <x:c r="J21" s="47" t="n">
        <x:v>1.085</x:v>
      </x:c>
      <x:c r="K21" s="47" t="n">
        <x:v>1.411</x:v>
      </x:c>
      <x:c r="L21" s="47" t="n">
        <x:v>1.497</x:v>
      </x:c>
      <x:c r="M21" s="47" t="n">
        <x:v>1.366</x:v>
      </x:c>
      <x:c r="N21" s="47" t="n">
        <x:v>1.046</x:v>
      </x:c>
      <x:c r="O21" s="47" t="n">
        <x:v>1.415</x:v>
      </x:c>
      <x:c r="P21" s="47" t="n">
        <x:v>1.5</x:v>
      </x:c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 t="str">
        <x:v>Sc</x:v>
      </x:c>
      <x:c r="B22" s="47" t="str">
        <x:v>Scandium</x:v>
      </x:c>
      <x:c r="C22" s="47" t="str">
        <x:v>Transition bridge</x:v>
      </x:c>
      <x:c r="D22" s="47" t="str">
        <x:v>↺□</x:v>
      </x:c>
      <x:c r="E22" s="47" t="str">
        <x:v>T9</x:v>
      </x:c>
      <x:c r="F22" s="47" t="str">
        <x:v>Bindu</x:v>
      </x:c>
      <x:c r="G22" s="47" t="str">
        <x:v>✦</x:v>
      </x:c>
      <x:c r="H22" s="47" t="n">
        <x:v>0.987</x:v>
      </x:c>
      <x:c r="I22" s="47" t="n">
        <x:v>0.947</x:v>
      </x:c>
      <x:c r="J22" s="47" t="n">
        <x:v>1.141</x:v>
      </x:c>
      <x:c r="K22" s="47" t="n">
        <x:v>1.383</x:v>
      </x:c>
      <x:c r="L22" s="47" t="n">
        <x:v>1.466</x:v>
      </x:c>
      <x:c r="M22" s="47" t="n">
        <x:v>1.356</x:v>
      </x:c>
      <x:c r="N22" s="47" t="n">
        <x:v>1.062</x:v>
      </x:c>
      <x:c r="O22" s="47" t="n">
        <x:v>1.451</x:v>
      </x:c>
      <x:c r="P22" s="47" t="n">
        <x:v>1.487</x:v>
      </x:c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 t="str">
        <x:v>Ti</x:v>
      </x:c>
      <x:c r="B23" s="47" t="str">
        <x:v>Titanium</x:v>
      </x:c>
      <x:c r="C23" s="47" t="str">
        <x:v>Strong structure</x:v>
      </x:c>
      <x:c r="D23" s="47" t="str">
        <x:v>ᛉ□</x:v>
      </x:c>
      <x:c r="E23" s="47" t="str">
        <x:v>T9</x:v>
      </x:c>
      <x:c r="F23" s="47" t="str">
        <x:v>Bindu</x:v>
      </x:c>
      <x:c r="G23" s="47" t="str">
        <x:v>✦</x:v>
      </x:c>
      <x:c r="H23" s="47" t="n">
        <x:v>0.979</x:v>
      </x:c>
      <x:c r="I23" s="47" t="n">
        <x:v>0.985</x:v>
      </x:c>
      <x:c r="J23" s="47" t="n">
        <x:v>1.133</x:v>
      </x:c>
      <x:c r="K23" s="47" t="n">
        <x:v>1.616</x:v>
      </x:c>
      <x:c r="L23" s="47" t="n">
        <x:v>1.704</x:v>
      </x:c>
      <x:c r="M23" s="47" t="n">
        <x:v>1.584</x:v>
      </x:c>
      <x:c r="N23" s="47" t="n">
        <x:v>1.042</x:v>
      </x:c>
      <x:c r="O23" s="47" t="n">
        <x:v>1.592</x:v>
      </x:c>
      <x:c r="P23" s="47" t="n">
        <x:v>1.721</x:v>
      </x:c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 t="str">
        <x:v>V</x:v>
      </x:c>
      <x:c r="B24" s="47" t="str">
        <x:v>Vanadium</x:v>
      </x:c>
      <x:c r="C24" s="47" t="str">
        <x:v>Multi-state gate</x:v>
      </x:c>
      <x:c r="D24" s="47" t="str">
        <x:v>◎↺</x:v>
      </x:c>
      <x:c r="E24" s="47" t="str">
        <x:v>T8</x:v>
      </x:c>
      <x:c r="F24" s="47" t="str">
        <x:v>Healer</x:v>
      </x:c>
      <x:c r="G24" s="47" t="str">
        <x:v>↺</x:v>
      </x:c>
      <x:c r="H24" s="47" t="n">
        <x:v>1.179</x:v>
      </x:c>
      <x:c r="I24" s="47" t="n">
        <x:v>1.128</x:v>
      </x:c>
      <x:c r="J24" s="47" t="n">
        <x:v>1.341</x:v>
      </x:c>
      <x:c r="K24" s="47" t="n">
        <x:v>1.432</x:v>
      </x:c>
      <x:c r="L24" s="47" t="n">
        <x:v>1.541</x:v>
      </x:c>
      <x:c r="M24" s="47" t="n">
        <x:v>1.463</x:v>
      </x:c>
      <x:c r="N24" s="47" t="n">
        <x:v>1.278</x:v>
      </x:c>
      <x:c r="O24" s="47" t="n">
        <x:v>1.602</x:v>
      </x:c>
      <x:c r="P24" s="47" t="n">
        <x:v>1.587</x:v>
      </x:c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 t="str">
        <x:v>Cr</x:v>
      </x:c>
      <x:c r="B25" s="47" t="str">
        <x:v>Chromium</x:v>
      </x:c>
      <x:c r="C25" s="47" t="str">
        <x:v>Surface guardian</x:v>
      </x:c>
      <x:c r="D25" s="47" t="str">
        <x:v>ᛉ◎</x:v>
      </x:c>
      <x:c r="E25" s="47" t="str">
        <x:v>T9</x:v>
      </x:c>
      <x:c r="F25" s="47" t="str">
        <x:v>Bindu</x:v>
      </x:c>
      <x:c r="G25" s="47" t="str">
        <x:v>✦</x:v>
      </x:c>
      <x:c r="H25" s="47" t="n">
        <x:v>1.056</x:v>
      </x:c>
      <x:c r="I25" s="47" t="n">
        <x:v>1.094</x:v>
      </x:c>
      <x:c r="J25" s="47" t="n">
        <x:v>1.173</x:v>
      </x:c>
      <x:c r="K25" s="47" t="n">
        <x:v>1.605</x:v>
      </x:c>
      <x:c r="L25" s="47" t="n">
        <x:v>1.694</x:v>
      </x:c>
      <x:c r="M25" s="47" t="n">
        <x:v>1.627</x:v>
      </x:c>
      <x:c r="N25" s="47" t="n">
        <x:v>1.184</x:v>
      </x:c>
      <x:c r="O25" s="47" t="n">
        <x:v>1.621</x:v>
      </x:c>
      <x:c r="P25" s="47" t="n">
        <x:v>1.734</x:v>
      </x:c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 t="str">
        <x:v>Mn</x:v>
      </x:c>
      <x:c r="B26" s="47" t="str">
        <x:v>Manganese</x:v>
      </x:c>
      <x:c r="C26" s="47" t="str">
        <x:v>Redox archer</x:v>
      </x:c>
      <x:c r="D26" s="47" t="str">
        <x:v>ᛏ↺</x:v>
      </x:c>
      <x:c r="E26" s="47" t="str">
        <x:v>T8</x:v>
      </x:c>
      <x:c r="F26" s="47" t="str">
        <x:v>Healer</x:v>
      </x:c>
      <x:c r="G26" s="47" t="str">
        <x:v>↺</x:v>
      </x:c>
      <x:c r="H26" s="47" t="n">
        <x:v>1.307</x:v>
      </x:c>
      <x:c r="I26" s="47" t="n">
        <x:v>1.225</x:v>
      </x:c>
      <x:c r="J26" s="47" t="n">
        <x:v>1.457</x:v>
      </x:c>
      <x:c r="K26" s="47" t="n">
        <x:v>1.369</x:v>
      </x:c>
      <x:c r="L26" s="47" t="n">
        <x:v>1.47</x:v>
      </x:c>
      <x:c r="M26" s="47" t="n">
        <x:v>1.396</x:v>
      </x:c>
      <x:c r="N26" s="47" t="n">
        <x:v>1.388</x:v>
      </x:c>
      <x:c r="O26" s="47" t="n">
        <x:v>1.621</x:v>
      </x:c>
      <x:c r="P26" s="47" t="n">
        <x:v>1.534</x:v>
      </x:c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 t="str">
        <x:v>Fe</x:v>
      </x:c>
      <x:c r="B27" s="47" t="str">
        <x:v>Iron</x:v>
      </x:c>
      <x:c r="C27" s="47" t="str">
        <x:v>Tank memory</x:v>
      </x:c>
      <x:c r="D27" s="47" t="str">
        <x:v>ᛉ◉</x:v>
      </x:c>
      <x:c r="E27" s="47" t="str">
        <x:v>T9</x:v>
      </x:c>
      <x:c r="F27" s="47" t="str">
        <x:v>Bindu</x:v>
      </x:c>
      <x:c r="G27" s="47" t="str">
        <x:v>✦</x:v>
      </x:c>
      <x:c r="H27" s="47" t="n">
        <x:v>1.175</x:v>
      </x:c>
      <x:c r="I27" s="47" t="n">
        <x:v>1.23</x:v>
      </x:c>
      <x:c r="J27" s="47" t="n">
        <x:v>1.381</x:v>
      </x:c>
      <x:c r="K27" s="47" t="n">
        <x:v>1.779</x:v>
      </x:c>
      <x:c r="L27" s="47" t="n">
        <x:v>1.823</x:v>
      </x:c>
      <x:c r="M27" s="47" t="n">
        <x:v>1.684</x:v>
      </x:c>
      <x:c r="N27" s="47" t="n">
        <x:v>1.322</x:v>
      </x:c>
      <x:c r="O27" s="47" t="n">
        <x:v>1.815</x:v>
      </x:c>
      <x:c r="P27" s="47" t="n">
        <x:v>1.858</x:v>
      </x:c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 t="str">
        <x:v>Co</x:v>
      </x:c>
      <x:c r="B28" s="47" t="str">
        <x:v>Cobalt</x:v>
      </x:c>
      <x:c r="C28" s="47" t="str">
        <x:v>Magnetic bridge</x:v>
      </x:c>
      <x:c r="D28" s="47" t="str">
        <x:v>◉ᛉ</x:v>
      </x:c>
      <x:c r="E28" s="47" t="str">
        <x:v>T9</x:v>
      </x:c>
      <x:c r="F28" s="47" t="str">
        <x:v>Bindu</x:v>
      </x:c>
      <x:c r="G28" s="47" t="str">
        <x:v>✦</x:v>
      </x:c>
      <x:c r="H28" s="47" t="n">
        <x:v>1.098</x:v>
      </x:c>
      <x:c r="I28" s="47" t="n">
        <x:v>1.149</x:v>
      </x:c>
      <x:c r="J28" s="47" t="n">
        <x:v>1.289</x:v>
      </x:c>
      <x:c r="K28" s="47" t="n">
        <x:v>1.685</x:v>
      </x:c>
      <x:c r="L28" s="47" t="n">
        <x:v>1.724</x:v>
      </x:c>
      <x:c r="M28" s="47" t="n">
        <x:v>1.607</x:v>
      </x:c>
      <x:c r="N28" s="47" t="n">
        <x:v>1.261</x:v>
      </x:c>
      <x:c r="O28" s="47" t="n">
        <x:v>1.713</x:v>
      </x:c>
      <x:c r="P28" s="47" t="n">
        <x:v>1.761</x:v>
      </x:c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 t="str">
        <x:v>Ni</x:v>
      </x:c>
      <x:c r="B29" s="47" t="str">
        <x:v>Nickel</x:v>
      </x:c>
      <x:c r="C29" s="47" t="str">
        <x:v>Catalytic guard</x:v>
      </x:c>
      <x:c r="D29" s="47" t="str">
        <x:v>◎↺</x:v>
      </x:c>
      <x:c r="E29" s="47" t="str">
        <x:v>T9</x:v>
      </x:c>
      <x:c r="F29" s="47" t="str">
        <x:v>Bindu</x:v>
      </x:c>
      <x:c r="G29" s="47" t="str">
        <x:v>✦</x:v>
      </x:c>
      <x:c r="H29" s="47" t="n">
        <x:v>1.09</x:v>
      </x:c>
      <x:c r="I29" s="47" t="n">
        <x:v>1.221</x:v>
      </x:c>
      <x:c r="J29" s="47" t="n">
        <x:v>1.321</x:v>
      </x:c>
      <x:c r="K29" s="47" t="n">
        <x:v>1.654</x:v>
      </x:c>
      <x:c r="L29" s="47" t="n">
        <x:v>1.738</x:v>
      </x:c>
      <x:c r="M29" s="47" t="n">
        <x:v>1.641</x:v>
      </x:c>
      <x:c r="N29" s="47" t="n">
        <x:v>1.208</x:v>
      </x:c>
      <x:c r="O29" s="47" t="n">
        <x:v>1.746</x:v>
      </x:c>
      <x:c r="P29" s="47" t="n">
        <x:v>1.782</x:v>
      </x:c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 t="str">
        <x:v>Cu</x:v>
      </x:c>
      <x:c r="B30" s="47" t="str">
        <x:v>Copper</x:v>
      </x:c>
      <x:c r="C30" s="47" t="str">
        <x:v>Conductor flow</x:v>
      </x:c>
      <x:c r="D30" s="47" t="str">
        <x:v>↺ᛏ</x:v>
      </x:c>
      <x:c r="E30" s="47" t="str">
        <x:v>T8</x:v>
      </x:c>
      <x:c r="F30" s="47" t="str">
        <x:v>Healer</x:v>
      </x:c>
      <x:c r="G30" s="47" t="str">
        <x:v>↺</x:v>
      </x:c>
      <x:c r="H30" s="47" t="n">
        <x:v>1.234</x:v>
      </x:c>
      <x:c r="I30" s="47" t="n">
        <x:v>1.285</x:v>
      </x:c>
      <x:c r="J30" s="47" t="n">
        <x:v>1.557</x:v>
      </x:c>
      <x:c r="K30" s="47" t="n">
        <x:v>1.598</x:v>
      </x:c>
      <x:c r="L30" s="47" t="n">
        <x:v>1.68</x:v>
      </x:c>
      <x:c r="M30" s="47" t="n">
        <x:v>1.584</x:v>
      </x:c>
      <x:c r="N30" s="47" t="n">
        <x:v>1.245</x:v>
      </x:c>
      <x:c r="O30" s="47" t="n">
        <x:v>1.844</x:v>
      </x:c>
      <x:c r="P30" s="47" t="n">
        <x:v>1.766</x:v>
      </x:c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 t="str">
        <x:v>Zn</x:v>
      </x:c>
      <x:c r="B31" s="47" t="str">
        <x:v>Zinc</x:v>
      </x:c>
      <x:c r="C31" s="47" t="str">
        <x:v>Enzyme stabilizer</x:v>
      </x:c>
      <x:c r="D31" s="47" t="str">
        <x:v>◎□</x:v>
      </x:c>
      <x:c r="E31" s="47" t="str">
        <x:v>T9</x:v>
      </x:c>
      <x:c r="F31" s="47" t="str">
        <x:v>Bindu</x:v>
      </x:c>
      <x:c r="G31" s="47" t="str">
        <x:v>✦</x:v>
      </x:c>
      <x:c r="H31" s="47" t="n">
        <x:v>0.928</x:v>
      </x:c>
      <x:c r="I31" s="47" t="n">
        <x:v>1.124</x:v>
      </x:c>
      <x:c r="J31" s="47" t="n">
        <x:v>1.181</x:v>
      </x:c>
      <x:c r="K31" s="47" t="n">
        <x:v>1.65</x:v>
      </x:c>
      <x:c r="L31" s="47" t="n">
        <x:v>1.741</x:v>
      </x:c>
      <x:c r="M31" s="47" t="n">
        <x:v>1.688</x:v>
      </x:c>
      <x:c r="N31" s="47" t="n">
        <x:v>1.058</x:v>
      </x:c>
      <x:c r="O31" s="47" t="n">
        <x:v>1.707</x:v>
      </x:c>
      <x:c r="P31" s="47" t="n">
        <x:v>1.792</x:v>
      </x:c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 t="str">
        <x:v>Ga</x:v>
      </x:c>
      <x:c r="B32" s="47" t="str">
        <x:v>Gallium</x:v>
      </x:c>
      <x:c r="C32" s="47" t="str">
        <x:v>Soft form gate</x:v>
      </x:c>
      <x:c r="D32" s="47" t="str">
        <x:v>□↺</x:v>
      </x:c>
      <x:c r="E32" s="47" t="str">
        <x:v>T8</x:v>
      </x:c>
      <x:c r="F32" s="47" t="str">
        <x:v>Healer</x:v>
      </x:c>
      <x:c r="G32" s="47" t="str">
        <x:v>↺</x:v>
      </x:c>
      <x:c r="H32" s="47" t="n">
        <x:v>0.919</x:v>
      </x:c>
      <x:c r="I32" s="47" t="n">
        <x:v>0.98</x:v>
      </x:c>
      <x:c r="J32" s="47" t="n">
        <x:v>1.117</x:v>
      </x:c>
      <x:c r="K32" s="47" t="n">
        <x:v>1.272</x:v>
      </x:c>
      <x:c r="L32" s="47" t="n">
        <x:v>1.378</x:v>
      </x:c>
      <x:c r="M32" s="47" t="n">
        <x:v>1.292</x:v>
      </x:c>
      <x:c r="N32" s="47" t="n">
        <x:v>1.013</x:v>
      </x:c>
      <x:c r="O32" s="47" t="n">
        <x:v>1.402</x:v>
      </x:c>
      <x:c r="P32" s="47" t="n">
        <x:v>1.4</x:v>
      </x:c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 t="str">
        <x:v>Ge</x:v>
      </x:c>
      <x:c r="B33" s="47" t="str">
        <x:v>Germanium</x:v>
      </x:c>
      <x:c r="C33" s="47" t="str">
        <x:v>Semi lattice</x:v>
      </x:c>
      <x:c r="D33" s="47" t="str">
        <x:v>□◎</x:v>
      </x:c>
      <x:c r="E33" s="47" t="str">
        <x:v>T9</x:v>
      </x:c>
      <x:c r="F33" s="47" t="str">
        <x:v>Bindu</x:v>
      </x:c>
      <x:c r="G33" s="47" t="str">
        <x:v>✦</x:v>
      </x:c>
      <x:c r="H33" s="47" t="n">
        <x:v>0.873</x:v>
      </x:c>
      <x:c r="I33" s="47" t="n">
        <x:v>1.052</x:v>
      </x:c>
      <x:c r="J33" s="47" t="n">
        <x:v>1.097</x:v>
      </x:c>
      <x:c r="K33" s="47" t="n">
        <x:v>1.567</x:v>
      </x:c>
      <x:c r="L33" s="47" t="n">
        <x:v>1.639</x:v>
      </x:c>
      <x:c r="M33" s="47" t="n">
        <x:v>1.533</x:v>
      </x:c>
      <x:c r="N33" s="47" t="n">
        <x:v>1.05</x:v>
      </x:c>
      <x:c r="O33" s="47" t="n">
        <x:v>1.576</x:v>
      </x:c>
      <x:c r="P33" s="47" t="n">
        <x:v>1.65</x:v>
      </x:c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 t="str">
        <x:v>As</x:v>
      </x:c>
      <x:c r="B34" s="47" t="str">
        <x:v>Arsenic</x:v>
      </x:c>
      <x:c r="C34" s="47" t="str">
        <x:v>Shadow gate</x:v>
      </x:c>
      <x:c r="D34" s="47" t="str">
        <x:v>∅◎</x:v>
      </x:c>
      <x:c r="E34" s="47" t="str">
        <x:v>T7</x:v>
      </x:c>
      <x:c r="F34" s="47" t="str">
        <x:v>Shadow</x:v>
      </x:c>
      <x:c r="G34" s="47" t="str">
        <x:v>∅</x:v>
      </x:c>
      <x:c r="H34" s="47" t="n">
        <x:v>0.945</x:v>
      </x:c>
      <x:c r="I34" s="47" t="n">
        <x:v>1.069</x:v>
      </x:c>
      <x:c r="J34" s="47" t="n">
        <x:v>1.021</x:v>
      </x:c>
      <x:c r="K34" s="47" t="n">
        <x:v>1.224</x:v>
      </x:c>
      <x:c r="L34" s="47" t="n">
        <x:v>1.29</x:v>
      </x:c>
      <x:c r="M34" s="47" t="n">
        <x:v>1.236</x:v>
      </x:c>
      <x:c r="N34" s="47" t="n">
        <x:v>1.343</x:v>
      </x:c>
      <x:c r="O34" s="47" t="n">
        <x:v>1.307</x:v>
      </x:c>
      <x:c r="P34" s="47" t="n">
        <x:v>1.282</x:v>
      </x:c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 t="str">
        <x:v>Se</x:v>
      </x:c>
      <x:c r="B35" s="47" t="str">
        <x:v>Selenium</x:v>
      </x:c>
      <x:c r="C35" s="47" t="str">
        <x:v>Trace healer</x:v>
      </x:c>
      <x:c r="D35" s="47" t="str">
        <x:v>↺◉</x:v>
      </x:c>
      <x:c r="E35" s="47" t="str">
        <x:v>T8</x:v>
      </x:c>
      <x:c r="F35" s="47" t="str">
        <x:v>Healer</x:v>
      </x:c>
      <x:c r="G35" s="47" t="str">
        <x:v>↺</x:v>
      </x:c>
      <x:c r="H35" s="47" t="n">
        <x:v>0.996</x:v>
      </x:c>
      <x:c r="I35" s="47" t="n">
        <x:v>1.247</x:v>
      </x:c>
      <x:c r="J35" s="47" t="n">
        <x:v>1.241</x:v>
      </x:c>
      <x:c r="K35" s="47" t="n">
        <x:v>1.501</x:v>
      </x:c>
      <x:c r="L35" s="47" t="n">
        <x:v>1.534</x:v>
      </x:c>
      <x:c r="M35" s="47" t="n">
        <x:v>1.493</x:v>
      </x:c>
      <x:c r="N35" s="47" t="n">
        <x:v>1.217</x:v>
      </x:c>
      <x:c r="O35" s="47" t="n">
        <x:v>1.641</x:v>
      </x:c>
      <x:c r="P35" s="47" t="n">
        <x:v>1.603</x:v>
      </x:c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 t="str">
        <x:v>Br</x:v>
      </x:c>
      <x:c r="B36" s="47" t="str">
        <x:v>Bromine</x:v>
      </x:c>
      <x:c r="C36" s="47" t="str">
        <x:v>Heavy receiver</x:v>
      </x:c>
      <x:c r="D36" s="47" t="str">
        <x:v>▽∅</x:v>
      </x:c>
      <x:c r="E36" s="47" t="str">
        <x:v>T8</x:v>
      </x:c>
      <x:c r="F36" s="47" t="str">
        <x:v>Healer</x:v>
      </x:c>
      <x:c r="G36" s="47" t="str">
        <x:v>↺</x:v>
      </x:c>
      <x:c r="H36" s="47" t="n">
        <x:v>1.153</x:v>
      </x:c>
      <x:c r="I36" s="47" t="n">
        <x:v>1.424</x:v>
      </x:c>
      <x:c r="J36" s="47" t="n">
        <x:v>1.241</x:v>
      </x:c>
      <x:c r="K36" s="47" t="n">
        <x:v>1.2</x:v>
      </x:c>
      <x:c r="L36" s="47" t="n">
        <x:v>1.317</x:v>
      </x:c>
      <x:c r="M36" s="47" t="n">
        <x:v>1.363</x:v>
      </x:c>
      <x:c r="N36" s="47" t="n">
        <x:v>1.241</x:v>
      </x:c>
      <x:c r="O36" s="47" t="n">
        <x:v>1.484</x:v>
      </x:c>
      <x:c r="P36" s="47" t="n">
        <x:v>1.424</x:v>
      </x:c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 t="str">
        <x:v>Kr</x:v>
      </x:c>
      <x:c r="B37" s="47" t="str">
        <x:v>Krypton</x:v>
      </x:c>
      <x:c r="C37" s="47" t="str">
        <x:v>Closed Gate light</x:v>
      </x:c>
      <x:c r="D37" s="47" t="str">
        <x:v>◎✓</x:v>
      </x:c>
      <x:c r="E37" s="47" t="str">
        <x:v>T9</x:v>
      </x:c>
      <x:c r="F37" s="47" t="str">
        <x:v>Bindu</x:v>
      </x:c>
      <x:c r="G37" s="47" t="str">
        <x:v>✦</x:v>
      </x:c>
      <x:c r="H37" s="47" t="n">
        <x:v>0.409</x:v>
      </x:c>
      <x:c r="I37" s="47" t="n">
        <x:v>0.642</x:v>
      </x:c>
      <x:c r="J37" s="47" t="n">
        <x:v>0.608</x:v>
      </x:c>
      <x:c r="K37" s="47" t="n">
        <x:v>1.751</x:v>
      </x:c>
      <x:c r="L37" s="47" t="n">
        <x:v>1.734</x:v>
      </x:c>
      <x:c r="M37" s="47" t="n">
        <x:v>1.748</x:v>
      </x:c>
      <x:c r="N37" s="47" t="n">
        <x:v>0.753</x:v>
      </x:c>
      <x:c r="O37" s="47" t="n">
        <x:v>1.474</x:v>
      </x:c>
      <x:c r="P37" s="47" t="n">
        <x:v>1.768</x:v>
      </x:c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conditionalFormatting sqref="H2:H37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{2E42D936-C154-7B11-CBEE-E6727DEEA725}</x14:id>
        </x:ext>
      </x:extLst>
    </x:cfRule>
  </x:conditionalFormatting>
  <x:conditionalFormatting sqref="I2:I37">
    <x:cfRule type="dataBar" priority="2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{1396C4DC-681B-C8F8-FD24-35F04F86BE6A}</x14:id>
        </x:ext>
      </x:extLst>
    </x:cfRule>
  </x:conditionalFormatting>
  <x:conditionalFormatting sqref="J2:J37">
    <x:cfRule type="dataBar" priority="3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{AEF18A68-0548-516F-F657-FBC925CF309D}</x14:id>
        </x:ext>
      </x:extLst>
    </x:cfRule>
  </x:conditionalFormatting>
  <x:conditionalFormatting sqref="K2:K37">
    <x:cfRule type="dataBar" priority="4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{BDF0C174-58A3-C250-B109-352B13B6A797}</x14:id>
        </x:ext>
      </x:extLst>
    </x:cfRule>
  </x:conditionalFormatting>
  <x:conditionalFormatting sqref="L2:L37">
    <x:cfRule type="dataBar" priority="5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{98907299-D090-26A7-9243-DFC2538CC242}</x14:id>
        </x:ext>
      </x:extLst>
    </x:cfRule>
  </x:conditionalFormatting>
  <x:conditionalFormatting sqref="M2:M37">
    <x:cfRule type="dataBar" priority="6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{84AC4439-D026-C30E-318D-C09379E37141}</x14:id>
        </x:ext>
      </x:extLst>
    </x:cfRule>
  </x:conditionalFormatting>
  <x:conditionalFormatting sqref="N2:N37">
    <x:cfRule type="dataBar" priority="7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{6B3AFFE4-7637-A2BC-94D9-1A55BB0C8D25}</x14:id>
        </x:ext>
      </x:extLst>
    </x:cfRule>
  </x:conditionalFormatting>
  <x:conditionalFormatting sqref="O2:O37">
    <x:cfRule type="dataBar" priority="8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{BE8F2BF5-60CD-B68D-578A-20D2ACAD6065}</x14:id>
        </x:ext>
      </x:extLst>
    </x:cfRule>
  </x:conditionalFormatting>
  <x:conditionalFormatting sqref="P2:P37">
    <x:cfRule type="dataBar" priority="9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{688513D8-4D7B-EBF5-8E11-1995D2CED088}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1bf74b032ce43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E42D936-C154-7B11-CBEE-E6727DEEA725}">
            <x14:dataBar gradient="1">
              <x14:cfvo type="min"/>
              <x14:cfvo type="max"/>
              <x14:fillColor rgb="60A5FA"/>
            </x14:dataBar>
          </x14:cfRule>
          <xm:sqref>H2:H37</xm:sqref>
        </x14:conditionalFormatting>
        <x14:conditionalFormatting>
          <x14:cfRule type="dataBar" priority="2" id="{1396C4DC-681B-C8F8-FD24-35F04F86BE6A}">
            <x14:dataBar gradient="1">
              <x14:cfvo type="min"/>
              <x14:cfvo type="max"/>
              <x14:fillColor rgb="60A5FA"/>
            </x14:dataBar>
          </x14:cfRule>
          <xm:sqref>I2:I37</xm:sqref>
        </x14:conditionalFormatting>
        <x14:conditionalFormatting>
          <x14:cfRule type="dataBar" priority="3" id="{AEF18A68-0548-516F-F657-FBC925CF309D}">
            <x14:dataBar gradient="1">
              <x14:cfvo type="min"/>
              <x14:cfvo type="max"/>
              <x14:fillColor rgb="60A5FA"/>
            </x14:dataBar>
          </x14:cfRule>
          <xm:sqref>J2:J37</xm:sqref>
        </x14:conditionalFormatting>
        <x14:conditionalFormatting>
          <x14:cfRule type="dataBar" priority="4" id="{BDF0C174-58A3-C250-B109-352B13B6A797}">
            <x14:dataBar gradient="1">
              <x14:cfvo type="min"/>
              <x14:cfvo type="max"/>
              <x14:fillColor rgb="60A5FA"/>
            </x14:dataBar>
          </x14:cfRule>
          <xm:sqref>K2:K37</xm:sqref>
        </x14:conditionalFormatting>
        <x14:conditionalFormatting>
          <x14:cfRule type="dataBar" priority="5" id="{98907299-D090-26A7-9243-DFC2538CC242}">
            <x14:dataBar gradient="1">
              <x14:cfvo type="min"/>
              <x14:cfvo type="max"/>
              <x14:fillColor rgb="60A5FA"/>
            </x14:dataBar>
          </x14:cfRule>
          <xm:sqref>L2:L37</xm:sqref>
        </x14:conditionalFormatting>
        <x14:conditionalFormatting>
          <x14:cfRule type="dataBar" priority="6" id="{84AC4439-D026-C30E-318D-C09379E37141}">
            <x14:dataBar gradient="1">
              <x14:cfvo type="min"/>
              <x14:cfvo type="max"/>
              <x14:fillColor rgb="60A5FA"/>
            </x14:dataBar>
          </x14:cfRule>
          <xm:sqref>M2:M37</xm:sqref>
        </x14:conditionalFormatting>
        <x14:conditionalFormatting>
          <x14:cfRule type="dataBar" priority="7" id="{6B3AFFE4-7637-A2BC-94D9-1A55BB0C8D25}">
            <x14:dataBar gradient="1">
              <x14:cfvo type="min"/>
              <x14:cfvo type="max"/>
              <x14:fillColor rgb="60A5FA"/>
            </x14:dataBar>
          </x14:cfRule>
          <xm:sqref>N2:N37</xm:sqref>
        </x14:conditionalFormatting>
        <x14:conditionalFormatting>
          <x14:cfRule type="dataBar" priority="8" id="{BE8F2BF5-60CD-B68D-578A-20D2ACAD6065}">
            <x14:dataBar gradient="1">
              <x14:cfvo type="min"/>
              <x14:cfvo type="max"/>
              <x14:fillColor rgb="60A5FA"/>
            </x14:dataBar>
          </x14:cfRule>
          <xm:sqref>O2:O37</xm:sqref>
        </x14:conditionalFormatting>
        <x14:conditionalFormatting>
          <x14:cfRule type="dataBar" priority="9" id="{688513D8-4D7B-EBF5-8E11-1995D2CED088}">
            <x14:dataBar gradient="1">
              <x14:cfvo type="min"/>
              <x14:cfvo type="max"/>
              <x14:fillColor rgb="60A5FA"/>
            </x14:dataBar>
          </x14:cfRule>
          <xm:sqref>P2:P37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0.5" hidden="0" customWidth="1"/>
    <x:col min="3" max="3" width="7.400000095367432" hidden="0" customWidth="1"/>
    <x:col min="4" max="4" width="7.400000095367432" hidden="0" customWidth="1"/>
    <x:col min="5" max="5" width="8.079999923706055" hidden="0" customWidth="1"/>
    <x:col min="6" max="6" width="7.940000057220459" hidden="0" customWidth="1"/>
    <x:col min="7" max="7" width="19.25" hidden="0" customWidth="1"/>
    <x:col min="8" max="8" width="15.479999542236328" hidden="0" customWidth="1"/>
    <x:col min="9" max="9" width="15.34000015258789" hidden="0" customWidth="1"/>
    <x:col min="10" max="10" width="17.899999618530273" hidden="0" customWidth="1"/>
    <x:col min="11" max="11" width="10.899999618530273" hidden="0" customWidth="1"/>
    <x:col min="12" max="12" width="8.34000015258789" hidden="0" customWidth="1"/>
    <x:col min="13" max="13" width="12.25" hidden="0" customWidth="1"/>
    <x:col min="14" max="14" width="55" hidden="0" customWidth="1"/>
  </x:cols>
  <x:sheetData>
    <x:row r="1">
      <x:c r="A1" s="48" t="str">
        <x:v>ElementA</x:v>
      </x:c>
      <x:c r="B1" s="48" t="str">
        <x:v>ElementB</x:v>
      </x:c>
      <x:c r="C1" s="48" t="str">
        <x:v>RoleA</x:v>
      </x:c>
      <x:c r="D1" s="48" t="str">
        <x:v>RoleB</x:v>
      </x:c>
      <x:c r="E1" s="48" t="str">
        <x:v>RuneA</x:v>
      </x:c>
      <x:c r="F1" s="48" t="str">
        <x:v>RuneB</x:v>
      </x:c>
      <x:c r="G1" s="48" t="str">
        <x:v>DonorReceiverScore</x:v>
      </x:c>
      <x:c r="H1" s="48" t="str">
        <x:v>StructureMatch</x:v>
      </x:c>
      <x:c r="I1" s="48" t="str">
        <x:v>ShadowPenalty</x:v>
      </x:c>
      <x:c r="J1" s="48" t="str">
        <x:v>CoherenceSupport</x:v>
      </x:c>
      <x:c r="K1" s="48" t="str">
        <x:v>GateScore</x:v>
      </x:c>
      <x:c r="L1" s="48" t="str">
        <x:v>Verdict</x:v>
      </x:c>
      <x:c r="M1" s="48" t="str">
        <x:v>RunePacket</x:v>
      </x:c>
      <x:c r="N1" s="48" t="str">
        <x:v>TransitionReading</x:v>
      </x:c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 t="str">
        <x:v>H</x:v>
      </x:c>
      <x:c r="B2" s="47" t="str">
        <x:v>H</x:v>
      </x:c>
      <x:c r="C2" s="47" t="str">
        <x:v>Archer opener</x:v>
      </x:c>
      <x:c r="D2" s="47" t="str">
        <x:v>Archer opener</x:v>
      </x:c>
      <x:c r="E2" s="47" t="str">
        <x:v>ᛏ△</x:v>
      </x:c>
      <x:c r="F2" s="47" t="str">
        <x:v>ᛏ△</x:v>
      </x:c>
      <x:c r="G2" s="47" t="n">
        <x:v>21.2</x:v>
      </x:c>
      <x:c r="H2" s="47" t="n">
        <x:v>20</x:v>
      </x:c>
      <x:c r="I2" s="47" t="n">
        <x:v>5</x:v>
      </x:c>
      <x:c r="J2" s="47" t="n">
        <x:v>14</x:v>
      </x:c>
      <x:c r="K2" s="47" t="n">
        <x:v>50.2</x:v>
      </x:c>
      <x:c r="L2" s="47" t="str">
        <x:v>REPAIR</x:v>
      </x:c>
      <x:c r="M2" s="47" t="str">
        <x:v>ᛏ△ + ᛏ△ + △ + ↺</x:v>
      </x:c>
      <x:c r="N2" s="47" t="str">
        <x:v>H(Archer opener) with H(Archer opener): REPAIR in model.</x:v>
      </x:c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 t="str">
        <x:v>H</x:v>
      </x:c>
      <x:c r="B3" s="47" t="str">
        <x:v>He</x:v>
      </x:c>
      <x:c r="C3" s="47" t="str">
        <x:v>Archer opener</x:v>
      </x:c>
      <x:c r="D3" s="47" t="str">
        <x:v>Closed Gate</x:v>
      </x:c>
      <x:c r="E3" s="47" t="str">
        <x:v>ᛏ△</x:v>
      </x:c>
      <x:c r="F3" s="47" t="str">
        <x:v>◎✓</x:v>
      </x:c>
      <x:c r="G3" s="47" t="n">
        <x:v>2.8</x:v>
      </x:c>
      <x:c r="H3" s="47" t="n">
        <x:v>5</x:v>
      </x:c>
      <x:c r="I3" s="47" t="n">
        <x:v>3</x:v>
      </x:c>
      <x:c r="J3" s="47" t="n">
        <x:v>26.5</x:v>
      </x:c>
      <x:c r="K3" s="47" t="n">
        <x:v>31.3</x:v>
      </x:c>
      <x:c r="L3" s="47" t="str">
        <x:v>HOLD</x:v>
      </x:c>
      <x:c r="M3" s="47" t="str">
        <x:v>ᛏ△ + ◎✓ + △ + HOLD</x:v>
      </x:c>
      <x:c r="N3" s="47" t="str">
        <x:v>H(Archer opener) with He(Closed Gate): HOLD in model.</x:v>
      </x:c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7" t="str">
        <x:v>H</x:v>
      </x:c>
      <x:c r="B4" s="47" t="str">
        <x:v>Li</x:v>
      </x:c>
      <x:c r="C4" s="47" t="str">
        <x:v>Archer opener</x:v>
      </x:c>
      <x:c r="D4" s="47" t="str">
        <x:v>Donor opener</x:v>
      </x:c>
      <x:c r="E4" s="47" t="str">
        <x:v>ᛏ△</x:v>
      </x:c>
      <x:c r="F4" s="47" t="str">
        <x:v>△ᛏ</x:v>
      </x:c>
      <x:c r="G4" s="47" t="n">
        <x:v>16.4</x:v>
      </x:c>
      <x:c r="H4" s="47" t="n">
        <x:v>17</x:v>
      </x:c>
      <x:c r="I4" s="47" t="n">
        <x:v>7</x:v>
      </x:c>
      <x:c r="J4" s="47" t="n">
        <x:v>13.5</x:v>
      </x:c>
      <x:c r="K4" s="47" t="n">
        <x:v>39.9</x:v>
      </x:c>
      <x:c r="L4" s="47" t="str">
        <x:v>HOLD</x:v>
      </x:c>
      <x:c r="M4" s="47" t="str">
        <x:v>ᛏ△ + △ᛏ + △ + HOLD</x:v>
      </x:c>
      <x:c r="N4" s="47" t="str">
        <x:v>H(Archer opener) with Li(Donor opener): HOLD in model.</x:v>
      </x:c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7" t="str">
        <x:v>H</x:v>
      </x:c>
      <x:c r="B5" s="47" t="str">
        <x:v>Be</x:v>
      </x:c>
      <x:c r="C5" s="47" t="str">
        <x:v>Archer opener</x:v>
      </x:c>
      <x:c r="D5" s="47" t="str">
        <x:v>Structure donor</x:v>
      </x:c>
      <x:c r="E5" s="47" t="str">
        <x:v>ᛏ△</x:v>
      </x:c>
      <x:c r="F5" s="47" t="str">
        <x:v>□△</x:v>
      </x:c>
      <x:c r="G5" s="47" t="n">
        <x:v>15.4</x:v>
      </x:c>
      <x:c r="H5" s="47" t="n">
        <x:v>9</x:v>
      </x:c>
      <x:c r="I5" s="47" t="n">
        <x:v>6</x:v>
      </x:c>
      <x:c r="J5" s="47" t="n">
        <x:v>17</x:v>
      </x:c>
      <x:c r="K5" s="47" t="n">
        <x:v>35.4</x:v>
      </x:c>
      <x:c r="L5" s="47" t="str">
        <x:v>HOLD</x:v>
      </x:c>
      <x:c r="M5" s="47" t="str">
        <x:v>ᛏ△ + □△ + △ + HOLD</x:v>
      </x:c>
      <x:c r="N5" s="47" t="str">
        <x:v>H(Archer opener) with Be(Structure donor): HOLD in model.</x:v>
      </x:c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7" t="str">
        <x:v>H</x:v>
      </x:c>
      <x:c r="B6" s="47" t="str">
        <x:v>B</x:v>
      </x:c>
      <x:c r="C6" s="47" t="str">
        <x:v>Archer opener</x:v>
      </x:c>
      <x:c r="D6" s="47" t="str">
        <x:v>Triangle former</x:v>
      </x:c>
      <x:c r="E6" s="47" t="str">
        <x:v>ᛏ△</x:v>
      </x:c>
      <x:c r="F6" s="47" t="str">
        <x:v>△□</x:v>
      </x:c>
      <x:c r="G6" s="47" t="n">
        <x:v>25.4</x:v>
      </x:c>
      <x:c r="H6" s="47" t="n">
        <x:v>7</x:v>
      </x:c>
      <x:c r="I6" s="47" t="n">
        <x:v>5.5</x:v>
      </x:c>
      <x:c r="J6" s="47" t="n">
        <x:v>18.5</x:v>
      </x:c>
      <x:c r="K6" s="47" t="n">
        <x:v>45.4</x:v>
      </x:c>
      <x:c r="L6" s="47" t="str">
        <x:v>REPAIR</x:v>
      </x:c>
      <x:c r="M6" s="47" t="str">
        <x:v>ᛏ△ + △□ + △ + ↺</x:v>
      </x:c>
      <x:c r="N6" s="47" t="str">
        <x:v>H(Archer opener) with B(Triangle former): REPAIR in model.</x:v>
      </x:c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7" t="str">
        <x:v>H</x:v>
      </x:c>
      <x:c r="B7" s="47" t="str">
        <x:v>C</x:v>
      </x:c>
      <x:c r="C7" s="47" t="str">
        <x:v>Archer opener</x:v>
      </x:c>
      <x:c r="D7" s="47" t="str">
        <x:v>Engineer grammar</x:v>
      </x:c>
      <x:c r="E7" s="47" t="str">
        <x:v>ᛏ△</x:v>
      </x:c>
      <x:c r="F7" s="47" t="str">
        <x:v>□◉</x:v>
      </x:c>
      <x:c r="G7" s="47" t="n">
        <x:v>24.8</x:v>
      </x:c>
      <x:c r="H7" s="47" t="n">
        <x:v>2</x:v>
      </x:c>
      <x:c r="I7" s="47" t="n">
        <x:v>4.5</x:v>
      </x:c>
      <x:c r="J7" s="47" t="n">
        <x:v>22</x:v>
      </x:c>
      <x:c r="K7" s="47" t="n">
        <x:v>44.3</x:v>
      </x:c>
      <x:c r="L7" s="47" t="str">
        <x:v>REPAIR</x:v>
      </x:c>
      <x:c r="M7" s="47" t="str">
        <x:v>ᛏ△ + □◉ + △ + ↺</x:v>
      </x:c>
      <x:c r="N7" s="47" t="str">
        <x:v>H(Archer opener) with C(Engineer grammar): REPAIR in model.</x:v>
      </x:c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7" t="str">
        <x:v>H</x:v>
      </x:c>
      <x:c r="B8" s="47" t="str">
        <x:v>N</x:v>
      </x:c>
      <x:c r="C8" s="47" t="str">
        <x:v>Archer opener</x:v>
      </x:c>
      <x:c r="D8" s="47" t="str">
        <x:v>Bridge guardian</x:v>
      </x:c>
      <x:c r="E8" s="47" t="str">
        <x:v>ᛏ△</x:v>
      </x:c>
      <x:c r="F8" s="47" t="str">
        <x:v>◎ᛉ</x:v>
      </x:c>
      <x:c r="G8" s="47" t="n">
        <x:v>35.4</x:v>
      </x:c>
      <x:c r="H8" s="47" t="n">
        <x:v>9</x:v>
      </x:c>
      <x:c r="I8" s="47" t="n">
        <x:v>5</x:v>
      </x:c>
      <x:c r="J8" s="47" t="n">
        <x:v>21.5</x:v>
      </x:c>
      <x:c r="K8" s="47" t="n">
        <x:v>60.9</x:v>
      </x:c>
      <x:c r="L8" s="47" t="str">
        <x:v>ASK</x:v>
      </x:c>
      <x:c r="M8" s="47" t="str">
        <x:v>ᛏ△ + ◎ᛉ + △ + ◎?</x:v>
      </x:c>
      <x:c r="N8" s="47" t="str">
        <x:v>H(Archer opener) with N(Bridge guardian): ASK in model.</x:v>
      </x:c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 t="str">
        <x:v>H</x:v>
      </x:c>
      <x:c r="B9" s="47" t="str">
        <x:v>O</x:v>
      </x:c>
      <x:c r="C9" s="47" t="str">
        <x:v>Archer opener</x:v>
      </x:c>
      <x:c r="D9" s="47" t="str">
        <x:v>Receiver activator</x:v>
      </x:c>
      <x:c r="E9" s="47" t="str">
        <x:v>ᛏ△</x:v>
      </x:c>
      <x:c r="F9" s="47" t="str">
        <x:v>▽△</x:v>
      </x:c>
      <x:c r="G9" s="47" t="n">
        <x:v>49.1</x:v>
      </x:c>
      <x:c r="H9" s="47" t="n">
        <x:v>13</x:v>
      </x:c>
      <x:c r="I9" s="47" t="n">
        <x:v>6</x:v>
      </x:c>
      <x:c r="J9" s="47" t="n">
        <x:v>20</x:v>
      </x:c>
      <x:c r="K9" s="47" t="n">
        <x:v>76.1</x:v>
      </x:c>
      <x:c r="L9" s="47" t="str">
        <x:v>OPEN</x:v>
      </x:c>
      <x:c r="M9" s="47" t="str">
        <x:v>ᛏ△ + ▽△ + △ + ◎✓</x:v>
      </x:c>
      <x:c r="N9" s="47" t="str">
        <x:v>H(Archer opener) with O(Receiver activator): OPEN in model.</x:v>
      </x:c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 t="str">
        <x:v>H</x:v>
      </x:c>
      <x:c r="B10" s="47" t="str">
        <x:v>F</x:v>
      </x:c>
      <x:c r="C10" s="47" t="str">
        <x:v>Archer opener</x:v>
      </x:c>
      <x:c r="D10" s="47" t="str">
        <x:v>Strong receiver</x:v>
      </x:c>
      <x:c r="E10" s="47" t="str">
        <x:v>ᛏ△</x:v>
      </x:c>
      <x:c r="F10" s="47" t="str">
        <x:v>▽◎</x:v>
      </x:c>
      <x:c r="G10" s="47" t="n">
        <x:v>51.9</x:v>
      </x:c>
      <x:c r="H10" s="47" t="n">
        <x:v>15</x:v>
      </x:c>
      <x:c r="I10" s="47" t="n">
        <x:v>7.5</x:v>
      </x:c>
      <x:c r="J10" s="47" t="n">
        <x:v>19.5</x:v>
      </x:c>
      <x:c r="K10" s="47" t="n">
        <x:v>78.9</x:v>
      </x:c>
      <x:c r="L10" s="47" t="str">
        <x:v>OPEN</x:v>
      </x:c>
      <x:c r="M10" s="47" t="str">
        <x:v>ᛏ△ + ▽◎ + △ + ◎✓</x:v>
      </x:c>
      <x:c r="N10" s="47" t="str">
        <x:v>H(Archer opener) with F(Strong receiver): OPEN in model.</x:v>
      </x:c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 t="str">
        <x:v>H</x:v>
      </x:c>
      <x:c r="B11" s="47" t="str">
        <x:v>Ne</x:v>
      </x:c>
      <x:c r="C11" s="47" t="str">
        <x:v>Archer opener</x:v>
      </x:c>
      <x:c r="D11" s="47" t="str">
        <x:v>Closed Gate</x:v>
      </x:c>
      <x:c r="E11" s="47" t="str">
        <x:v>ᛏ△</x:v>
      </x:c>
      <x:c r="F11" s="47" t="str">
        <x:v>◎✓</x:v>
      </x:c>
      <x:c r="G11" s="47" t="n">
        <x:v>2.8</x:v>
      </x:c>
      <x:c r="H11" s="47" t="n">
        <x:v>4</x:v>
      </x:c>
      <x:c r="I11" s="47" t="n">
        <x:v>3</x:v>
      </x:c>
      <x:c r="J11" s="47" t="n">
        <x:v>26.5</x:v>
      </x:c>
      <x:c r="K11" s="47" t="n">
        <x:v>30.3</x:v>
      </x:c>
      <x:c r="L11" s="47" t="str">
        <x:v>HOLD</x:v>
      </x:c>
      <x:c r="M11" s="47" t="str">
        <x:v>ᛏ△ + ◎✓ + △ + HOLD</x:v>
      </x:c>
      <x:c r="N11" s="47" t="str">
        <x:v>H(Archer opener) with Ne(Closed Gate): HOLD in model.</x:v>
      </x:c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 t="str">
        <x:v>H</x:v>
      </x:c>
      <x:c r="B12" s="47" t="str">
        <x:v>Na</x:v>
      </x:c>
      <x:c r="C12" s="47" t="str">
        <x:v>Archer opener</x:v>
      </x:c>
      <x:c r="D12" s="47" t="str">
        <x:v>Strong donor</x:v>
      </x:c>
      <x:c r="E12" s="47" t="str">
        <x:v>ᛏ△</x:v>
      </x:c>
      <x:c r="F12" s="47" t="str">
        <x:v>△ᛏ</x:v>
      </x:c>
      <x:c r="G12" s="47" t="n">
        <x:v>15.5</x:v>
      </x:c>
      <x:c r="H12" s="47" t="n">
        <x:v>16</x:v>
      </x:c>
      <x:c r="I12" s="47" t="n">
        <x:v>8</x:v>
      </x:c>
      <x:c r="J12" s="47" t="n">
        <x:v>13</x:v>
      </x:c>
      <x:c r="K12" s="47" t="n">
        <x:v>36.5</x:v>
      </x:c>
      <x:c r="L12" s="47" t="str">
        <x:v>HOLD</x:v>
      </x:c>
      <x:c r="M12" s="47" t="str">
        <x:v>ᛏ△ + △ᛏ + △ + HOLD</x:v>
      </x:c>
      <x:c r="N12" s="47" t="str">
        <x:v>H(Archer opener) with Na(Strong donor): HOLD in model.</x:v>
      </x:c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 t="str">
        <x:v>H</x:v>
      </x:c>
      <x:c r="B13" s="47" t="str">
        <x:v>Mg</x:v>
      </x:c>
      <x:c r="C13" s="47" t="str">
        <x:v>Archer opener</x:v>
      </x:c>
      <x:c r="D13" s="47" t="str">
        <x:v>Structure donor</x:v>
      </x:c>
      <x:c r="E13" s="47" t="str">
        <x:v>ᛏ△</x:v>
      </x:c>
      <x:c r="F13" s="47" t="str">
        <x:v>□△</x:v>
      </x:c>
      <x:c r="G13" s="47" t="n">
        <x:v>16.6</x:v>
      </x:c>
      <x:c r="H13" s="47" t="n">
        <x:v>8</x:v>
      </x:c>
      <x:c r="I13" s="47" t="n">
        <x:v>6</x:v>
      </x:c>
      <x:c r="J13" s="47" t="n">
        <x:v>17.5</x:v>
      </x:c>
      <x:c r="K13" s="47" t="n">
        <x:v>36.1</x:v>
      </x:c>
      <x:c r="L13" s="47" t="str">
        <x:v>HOLD</x:v>
      </x:c>
      <x:c r="M13" s="47" t="str">
        <x:v>ᛏ△ + □△ + △ + HOLD</x:v>
      </x:c>
      <x:c r="N13" s="47" t="str">
        <x:v>H(Archer opener) with Mg(Structure donor): HOLD in model.</x:v>
      </x:c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 t="str">
        <x:v>H</x:v>
      </x:c>
      <x:c r="B14" s="47" t="str">
        <x:v>Al</x:v>
      </x:c>
      <x:c r="C14" s="47" t="str">
        <x:v>Archer opener</x:v>
      </x:c>
      <x:c r="D14" s="47" t="str">
        <x:v>Form builder</x:v>
      </x:c>
      <x:c r="E14" s="47" t="str">
        <x:v>ᛏ△</x:v>
      </x:c>
      <x:c r="F14" s="47" t="str">
        <x:v>□◎</x:v>
      </x:c>
      <x:c r="G14" s="47" t="n">
        <x:v>21.8</x:v>
      </x:c>
      <x:c r="H14" s="47" t="n">
        <x:v>6</x:v>
      </x:c>
      <x:c r="I14" s="47" t="n">
        <x:v>5</x:v>
      </x:c>
      <x:c r="J14" s="47" t="n">
        <x:v>19.5</x:v>
      </x:c>
      <x:c r="K14" s="47" t="n">
        <x:v>42.3</x:v>
      </x:c>
      <x:c r="L14" s="47" t="str">
        <x:v>REPAIR</x:v>
      </x:c>
      <x:c r="M14" s="47" t="str">
        <x:v>ᛏ△ + □◎ + △ + ↺</x:v>
      </x:c>
      <x:c r="N14" s="47" t="str">
        <x:v>H(Archer opener) with Al(Form builder): REPAIR in model.</x:v>
      </x:c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 t="str">
        <x:v>H</x:v>
      </x:c>
      <x:c r="B15" s="47" t="str">
        <x:v>Si</x:v>
      </x:c>
      <x:c r="C15" s="47" t="str">
        <x:v>Archer opener</x:v>
      </x:c>
      <x:c r="D15" s="47" t="str">
        <x:v>Lattice engineer</x:v>
      </x:c>
      <x:c r="E15" s="47" t="str">
        <x:v>ᛏ△</x:v>
      </x:c>
      <x:c r="F15" s="47" t="str">
        <x:v>□◉</x:v>
      </x:c>
      <x:c r="G15" s="47" t="n">
        <x:v>24.1</x:v>
      </x:c>
      <x:c r="H15" s="47" t="n">
        <x:v>3</x:v>
      </x:c>
      <x:c r="I15" s="47" t="n">
        <x:v>4.5</x:v>
      </x:c>
      <x:c r="J15" s="47" t="n">
        <x:v>22</x:v>
      </x:c>
      <x:c r="K15" s="47" t="n">
        <x:v>44.6</x:v>
      </x:c>
      <x:c r="L15" s="47" t="str">
        <x:v>REPAIR</x:v>
      </x:c>
      <x:c r="M15" s="47" t="str">
        <x:v>ᛏ△ + □◉ + △ + ↺</x:v>
      </x:c>
      <x:c r="N15" s="47" t="str">
        <x:v>H(Archer opener) with Si(Lattice engineer): REPAIR in model.</x:v>
      </x:c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 t="str">
        <x:v>H</x:v>
      </x:c>
      <x:c r="B16" s="47" t="str">
        <x:v>P</x:v>
      </x:c>
      <x:c r="C16" s="47" t="str">
        <x:v>Archer opener</x:v>
      </x:c>
      <x:c r="D16" s="47" t="str">
        <x:v>Energy memory</x:v>
      </x:c>
      <x:c r="E16" s="47" t="str">
        <x:v>ᛏ△</x:v>
      </x:c>
      <x:c r="F16" s="47" t="str">
        <x:v>◉△</x:v>
      </x:c>
      <x:c r="G16" s="47" t="n">
        <x:v>35.8</x:v>
      </x:c>
      <x:c r="H16" s="47" t="n">
        <x:v>10</x:v>
      </x:c>
      <x:c r="I16" s="47" t="n">
        <x:v>6.5</x:v>
      </x:c>
      <x:c r="J16" s="47" t="n">
        <x:v>19.5</x:v>
      </x:c>
      <x:c r="K16" s="47" t="n">
        <x:v>58.8</x:v>
      </x:c>
      <x:c r="L16" s="47" t="str">
        <x:v>ASK</x:v>
      </x:c>
      <x:c r="M16" s="47" t="str">
        <x:v>ᛏ△ + ◉△ + △ + ◎?</x:v>
      </x:c>
      <x:c r="N16" s="47" t="str">
        <x:v>H(Archer opener) with P(Energy memory): ASK in model.</x:v>
      </x:c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 t="str">
        <x:v>H</x:v>
      </x:c>
      <x:c r="B17" s="47" t="str">
        <x:v>S</x:v>
      </x:c>
      <x:c r="C17" s="47" t="str">
        <x:v>Archer opener</x:v>
      </x:c>
      <x:c r="D17" s="47" t="str">
        <x:v>Connector phase</x:v>
      </x:c>
      <x:c r="E17" s="47" t="str">
        <x:v>ᛏ△</x:v>
      </x:c>
      <x:c r="F17" s="47" t="str">
        <x:v>↺▽</x:v>
      </x:c>
      <x:c r="G17" s="47" t="n">
        <x:v>36.6</x:v>
      </x:c>
      <x:c r="H17" s="47" t="n">
        <x:v>9</x:v>
      </x:c>
      <x:c r="I17" s="47" t="n">
        <x:v>6</x:v>
      </x:c>
      <x:c r="J17" s="47" t="n">
        <x:v>19</x:v>
      </x:c>
      <x:c r="K17" s="47" t="n">
        <x:v>58.6</x:v>
      </x:c>
      <x:c r="L17" s="47" t="str">
        <x:v>ASK</x:v>
      </x:c>
      <x:c r="M17" s="47" t="str">
        <x:v>ᛏ△ + ↺▽ + △ + ◎?</x:v>
      </x:c>
      <x:c r="N17" s="47" t="str">
        <x:v>H(Archer opener) with S(Connector phase): ASK in model.</x:v>
      </x:c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 t="str">
        <x:v>H</x:v>
      </x:c>
      <x:c r="B18" s="47" t="str">
        <x:v>Cl</x:v>
      </x:c>
      <x:c r="C18" s="47" t="str">
        <x:v>Archer opener</x:v>
      </x:c>
      <x:c r="D18" s="47" t="str">
        <x:v>Receiver closure</x:v>
      </x:c>
      <x:c r="E18" s="47" t="str">
        <x:v>ᛏ△</x:v>
      </x:c>
      <x:c r="F18" s="47" t="str">
        <x:v>▽◎</x:v>
      </x:c>
      <x:c r="G18" s="47" t="n">
        <x:v>49.1</x:v>
      </x:c>
      <x:c r="H18" s="47" t="n">
        <x:v>14</x:v>
      </x:c>
      <x:c r="I18" s="47" t="n">
        <x:v>7</x:v>
      </x:c>
      <x:c r="J18" s="47" t="n">
        <x:v>20</x:v>
      </x:c>
      <x:c r="K18" s="47" t="n">
        <x:v>76.1</x:v>
      </x:c>
      <x:c r="L18" s="47" t="str">
        <x:v>OPEN</x:v>
      </x:c>
      <x:c r="M18" s="47" t="str">
        <x:v>ᛏ△ + ▽◎ + △ + ◎✓</x:v>
      </x:c>
      <x:c r="N18" s="47" t="str">
        <x:v>H(Archer opener) with Cl(Receiver closure): OPEN in model.</x:v>
      </x:c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 t="str">
        <x:v>H</x:v>
      </x:c>
      <x:c r="B19" s="47" t="str">
        <x:v>Ar</x:v>
      </x:c>
      <x:c r="C19" s="47" t="str">
        <x:v>Archer opener</x:v>
      </x:c>
      <x:c r="D19" s="47" t="str">
        <x:v>Closed Gate</x:v>
      </x:c>
      <x:c r="E19" s="47" t="str">
        <x:v>ᛏ△</x:v>
      </x:c>
      <x:c r="F19" s="47" t="str">
        <x:v>◎✓</x:v>
      </x:c>
      <x:c r="G19" s="47" t="n">
        <x:v>2.8</x:v>
      </x:c>
      <x:c r="H19" s="47" t="n">
        <x:v>4</x:v>
      </x:c>
      <x:c r="I19" s="47" t="n">
        <x:v>3</x:v>
      </x:c>
      <x:c r="J19" s="47" t="n">
        <x:v>26.5</x:v>
      </x:c>
      <x:c r="K19" s="47" t="n">
        <x:v>30.3</x:v>
      </x:c>
      <x:c r="L19" s="47" t="str">
        <x:v>HOLD</x:v>
      </x:c>
      <x:c r="M19" s="47" t="str">
        <x:v>ᛏ△ + ◎✓ + △ + HOLD</x:v>
      </x:c>
      <x:c r="N19" s="47" t="str">
        <x:v>H(Archer opener) with Ar(Closed Gate): HOLD in model.</x:v>
      </x:c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 t="str">
        <x:v>H</x:v>
      </x:c>
      <x:c r="B20" s="47" t="str">
        <x:v>K</x:v>
      </x:c>
      <x:c r="C20" s="47" t="str">
        <x:v>Archer opener</x:v>
      </x:c>
      <x:c r="D20" s="47" t="str">
        <x:v>Heavy opener</x:v>
      </x:c>
      <x:c r="E20" s="47" t="str">
        <x:v>ᛏ△</x:v>
      </x:c>
      <x:c r="F20" s="47" t="str">
        <x:v>△ᛏ</x:v>
      </x:c>
      <x:c r="G20" s="47" t="n">
        <x:v>16.1</x:v>
      </x:c>
      <x:c r="H20" s="47" t="n">
        <x:v>16</x:v>
      </x:c>
      <x:c r="I20" s="47" t="n">
        <x:v>9</x:v>
      </x:c>
      <x:c r="J20" s="47" t="n">
        <x:v>12</x:v>
      </x:c>
      <x:c r="K20" s="47" t="n">
        <x:v>35.1</x:v>
      </x:c>
      <x:c r="L20" s="47" t="str">
        <x:v>HOLD</x:v>
      </x:c>
      <x:c r="M20" s="47" t="str">
        <x:v>ᛏ△ + △ᛏ + △ + HOLD</x:v>
      </x:c>
      <x:c r="N20" s="47" t="str">
        <x:v>H(Archer opener) with K(Heavy opener): HOLD in model.</x:v>
      </x:c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 t="str">
        <x:v>H</x:v>
      </x:c>
      <x:c r="B21" s="47" t="str">
        <x:v>Ca</x:v>
      </x:c>
      <x:c r="C21" s="47" t="str">
        <x:v>Archer opener</x:v>
      </x:c>
      <x:c r="D21" s="47" t="str">
        <x:v>Tank structure</x:v>
      </x:c>
      <x:c r="E21" s="47" t="str">
        <x:v>ᛏ△</x:v>
      </x:c>
      <x:c r="F21" s="47" t="str">
        <x:v>ᛉ□</x:v>
      </x:c>
      <x:c r="G21" s="47" t="n">
        <x:v>18.1</x:v>
      </x:c>
      <x:c r="H21" s="47" t="n">
        <x:v>6</x:v>
      </x:c>
      <x:c r="I21" s="47" t="n">
        <x:v>5.5</x:v>
      </x:c>
      <x:c r="J21" s="47" t="n">
        <x:v>19.5</x:v>
      </x:c>
      <x:c r="K21" s="47" t="n">
        <x:v>38.1</x:v>
      </x:c>
      <x:c r="L21" s="47" t="str">
        <x:v>HOLD</x:v>
      </x:c>
      <x:c r="M21" s="47" t="str">
        <x:v>ᛏ△ + ᛉ□ + △ + HOLD</x:v>
      </x:c>
      <x:c r="N21" s="47" t="str">
        <x:v>H(Archer opener) with Ca(Tank structure): HOLD in model.</x:v>
      </x:c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 t="str">
        <x:v>H</x:v>
      </x:c>
      <x:c r="B22" s="47" t="str">
        <x:v>Sc</x:v>
      </x:c>
      <x:c r="C22" s="47" t="str">
        <x:v>Archer opener</x:v>
      </x:c>
      <x:c r="D22" s="47" t="str">
        <x:v>Transition bridge</x:v>
      </x:c>
      <x:c r="E22" s="47" t="str">
        <x:v>ᛏ△</x:v>
      </x:c>
      <x:c r="F22" s="47" t="str">
        <x:v>↺□</x:v>
      </x:c>
      <x:c r="G22" s="47" t="n">
        <x:v>21.8</x:v>
      </x:c>
      <x:c r="H22" s="47" t="n">
        <x:v>7</x:v>
      </x:c>
      <x:c r="I22" s="47" t="n">
        <x:v>5.5</x:v>
      </x:c>
      <x:c r="J22" s="47" t="n">
        <x:v>19</x:v>
      </x:c>
      <x:c r="K22" s="47" t="n">
        <x:v>42.3</x:v>
      </x:c>
      <x:c r="L22" s="47" t="str">
        <x:v>REPAIR</x:v>
      </x:c>
      <x:c r="M22" s="47" t="str">
        <x:v>ᛏ△ + ↺□ + △ + ↺</x:v>
      </x:c>
      <x:c r="N22" s="47" t="str">
        <x:v>H(Archer opener) with Sc(Transition bridge): REPAIR in model.</x:v>
      </x:c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 t="str">
        <x:v>H</x:v>
      </x:c>
      <x:c r="B23" s="47" t="str">
        <x:v>Ti</x:v>
      </x:c>
      <x:c r="C23" s="47" t="str">
        <x:v>Archer opener</x:v>
      </x:c>
      <x:c r="D23" s="47" t="str">
        <x:v>Strong structure</x:v>
      </x:c>
      <x:c r="E23" s="47" t="str">
        <x:v>ᛏ△</x:v>
      </x:c>
      <x:c r="F23" s="47" t="str">
        <x:v>ᛉ□</x:v>
      </x:c>
      <x:c r="G23" s="47" t="n">
        <x:v>21.8</x:v>
      </x:c>
      <x:c r="H23" s="47" t="n">
        <x:v>4</x:v>
      </x:c>
      <x:c r="I23" s="47" t="n">
        <x:v>4.5</x:v>
      </x:c>
      <x:c r="J23" s="47" t="n">
        <x:v>22</x:v>
      </x:c>
      <x:c r="K23" s="47" t="n">
        <x:v>43.3</x:v>
      </x:c>
      <x:c r="L23" s="47" t="str">
        <x:v>REPAIR</x:v>
      </x:c>
      <x:c r="M23" s="47" t="str">
        <x:v>ᛏ△ + ᛉ□ + △ + ↺</x:v>
      </x:c>
      <x:c r="N23" s="47" t="str">
        <x:v>H(Archer opener) with Ti(Strong structure): REPAIR in model.</x:v>
      </x:c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 t="str">
        <x:v>H</x:v>
      </x:c>
      <x:c r="B24" s="47" t="str">
        <x:v>V</x:v>
      </x:c>
      <x:c r="C24" s="47" t="str">
        <x:v>Archer opener</x:v>
      </x:c>
      <x:c r="D24" s="47" t="str">
        <x:v>Multi-state gate</x:v>
      </x:c>
      <x:c r="E24" s="47" t="str">
        <x:v>ᛏ△</x:v>
      </x:c>
      <x:c r="F24" s="47" t="str">
        <x:v>◎↺</x:v>
      </x:c>
      <x:c r="G24" s="47" t="n">
        <x:v>27.3</x:v>
      </x:c>
      <x:c r="H24" s="47" t="n">
        <x:v>7</x:v>
      </x:c>
      <x:c r="I24" s="47" t="n">
        <x:v>7</x:v>
      </x:c>
      <x:c r="J24" s="47" t="n">
        <x:v>19.5</x:v>
      </x:c>
      <x:c r="K24" s="47" t="n">
        <x:v>46.8</x:v>
      </x:c>
      <x:c r="L24" s="47" t="str">
        <x:v>REPAIR</x:v>
      </x:c>
      <x:c r="M24" s="47" t="str">
        <x:v>ᛏ△ + ◎↺ + △ + ↺</x:v>
      </x:c>
      <x:c r="N24" s="47" t="str">
        <x:v>H(Archer opener) with V(Multi-state gate): REPAIR in model.</x:v>
      </x:c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 t="str">
        <x:v>H</x:v>
      </x:c>
      <x:c r="B25" s="47" t="str">
        <x:v>Cr</x:v>
      </x:c>
      <x:c r="C25" s="47" t="str">
        <x:v>Archer opener</x:v>
      </x:c>
      <x:c r="D25" s="47" t="str">
        <x:v>Surface guardian</x:v>
      </x:c>
      <x:c r="E25" s="47" t="str">
        <x:v>ᛏ△</x:v>
      </x:c>
      <x:c r="F25" s="47" t="str">
        <x:v>ᛉ◎</x:v>
      </x:c>
      <x:c r="G25" s="47" t="n">
        <x:v>26.6</x:v>
      </x:c>
      <x:c r="H25" s="47" t="n">
        <x:v>5</x:v>
      </x:c>
      <x:c r="I25" s="47" t="n">
        <x:v>6</x:v>
      </x:c>
      <x:c r="J25" s="47" t="n">
        <x:v>22</x:v>
      </x:c>
      <x:c r="K25" s="47" t="n">
        <x:v>47.6</x:v>
      </x:c>
      <x:c r="L25" s="47" t="str">
        <x:v>REPAIR</x:v>
      </x:c>
      <x:c r="M25" s="47" t="str">
        <x:v>ᛏ△ + ᛉ◎ + △ + ↺</x:v>
      </x:c>
      <x:c r="N25" s="47" t="str">
        <x:v>H(Archer opener) with Cr(Surface guardian): REPAIR in model.</x:v>
      </x:c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 t="str">
        <x:v>H</x:v>
      </x:c>
      <x:c r="B26" s="47" t="str">
        <x:v>Mn</x:v>
      </x:c>
      <x:c r="C26" s="47" t="str">
        <x:v>Archer opener</x:v>
      </x:c>
      <x:c r="D26" s="47" t="str">
        <x:v>Redox archer</x:v>
      </x:c>
      <x:c r="E26" s="47" t="str">
        <x:v>ᛏ△</x:v>
      </x:c>
      <x:c r="F26" s="47" t="str">
        <x:v>ᛏ↺</x:v>
      </x:c>
      <x:c r="G26" s="47" t="n">
        <x:v>32.8</x:v>
      </x:c>
      <x:c r="H26" s="47" t="n">
        <x:v>9</x:v>
      </x:c>
      <x:c r="I26" s="47" t="n">
        <x:v>8</x:v>
      </x:c>
      <x:c r="J26" s="47" t="n">
        <x:v>18</x:v>
      </x:c>
      <x:c r="K26" s="47" t="n">
        <x:v>51.8</x:v>
      </x:c>
      <x:c r="L26" s="47" t="str">
        <x:v>REPAIR</x:v>
      </x:c>
      <x:c r="M26" s="47" t="str">
        <x:v>ᛏ△ + ᛏ↺ + △ + ↺</x:v>
      </x:c>
      <x:c r="N26" s="47" t="str">
        <x:v>H(Archer opener) with Mn(Redox archer): REPAIR in model.</x:v>
      </x:c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 t="str">
        <x:v>H</x:v>
      </x:c>
      <x:c r="B27" s="47" t="str">
        <x:v>Fe</x:v>
      </x:c>
      <x:c r="C27" s="47" t="str">
        <x:v>Archer opener</x:v>
      </x:c>
      <x:c r="D27" s="47" t="str">
        <x:v>Tank memory</x:v>
      </x:c>
      <x:c r="E27" s="47" t="str">
        <x:v>ᛏ△</x:v>
      </x:c>
      <x:c r="F27" s="47" t="str">
        <x:v>ᛉ◉</x:v>
      </x:c>
      <x:c r="G27" s="47" t="n">
        <x:v>31.5</x:v>
      </x:c>
      <x:c r="H27" s="47" t="n">
        <x:v>4</x:v>
      </x:c>
      <x:c r="I27" s="47" t="n">
        <x:v>6</x:v>
      </x:c>
      <x:c r="J27" s="47" t="n">
        <x:v>21</x:v>
      </x:c>
      <x:c r="K27" s="47" t="n">
        <x:v>50.5</x:v>
      </x:c>
      <x:c r="L27" s="47" t="str">
        <x:v>REPAIR</x:v>
      </x:c>
      <x:c r="M27" s="47" t="str">
        <x:v>ᛏ△ + ᛉ◉ + △ + ↺</x:v>
      </x:c>
      <x:c r="N27" s="47" t="str">
        <x:v>H(Archer opener) with Fe(Tank memory): REPAIR in model.</x:v>
      </x:c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 t="str">
        <x:v>H</x:v>
      </x:c>
      <x:c r="B28" s="47" t="str">
        <x:v>Co</x:v>
      </x:c>
      <x:c r="C28" s="47" t="str">
        <x:v>Archer opener</x:v>
      </x:c>
      <x:c r="D28" s="47" t="str">
        <x:v>Magnetic bridge</x:v>
      </x:c>
      <x:c r="E28" s="47" t="str">
        <x:v>ᛏ△</x:v>
      </x:c>
      <x:c r="F28" s="47" t="str">
        <x:v>◉ᛉ</x:v>
      </x:c>
      <x:c r="G28" s="47" t="n">
        <x:v>28.7</x:v>
      </x:c>
      <x:c r="H28" s="47" t="n">
        <x:v>5</x:v>
      </x:c>
      <x:c r="I28" s="47" t="n">
        <x:v>6</x:v>
      </x:c>
      <x:c r="J28" s="47" t="n">
        <x:v>20.5</x:v>
      </x:c>
      <x:c r="K28" s="47" t="n">
        <x:v>48.2</x:v>
      </x:c>
      <x:c r="L28" s="47" t="str">
        <x:v>REPAIR</x:v>
      </x:c>
      <x:c r="M28" s="47" t="str">
        <x:v>ᛏ△ + ◉ᛉ + △ + ↺</x:v>
      </x:c>
      <x:c r="N28" s="47" t="str">
        <x:v>H(Archer opener) with Co(Magnetic bridge): REPAIR in model.</x:v>
      </x:c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 t="str">
        <x:v>H</x:v>
      </x:c>
      <x:c r="B29" s="47" t="str">
        <x:v>Ni</x:v>
      </x:c>
      <x:c r="C29" s="47" t="str">
        <x:v>Archer opener</x:v>
      </x:c>
      <x:c r="D29" s="47" t="str">
        <x:v>Catalytic guard</x:v>
      </x:c>
      <x:c r="E29" s="47" t="str">
        <x:v>ᛏ△</x:v>
      </x:c>
      <x:c r="F29" s="47" t="str">
        <x:v>◎↺</x:v>
      </x:c>
      <x:c r="G29" s="47" t="n">
        <x:v>30.2</x:v>
      </x:c>
      <x:c r="H29" s="47" t="n">
        <x:v>5</x:v>
      </x:c>
      <x:c r="I29" s="47" t="n">
        <x:v>5.5</x:v>
      </x:c>
      <x:c r="J29" s="47" t="n">
        <x:v>21.5</x:v>
      </x:c>
      <x:c r="K29" s="47" t="n">
        <x:v>51.2</x:v>
      </x:c>
      <x:c r="L29" s="47" t="str">
        <x:v>REPAIR</x:v>
      </x:c>
      <x:c r="M29" s="47" t="str">
        <x:v>ᛏ△ + ◎↺ + △ + ↺</x:v>
      </x:c>
      <x:c r="N29" s="47" t="str">
        <x:v>H(Archer opener) with Ni(Catalytic guard): REPAIR in model.</x:v>
      </x:c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 t="str">
        <x:v>H</x:v>
      </x:c>
      <x:c r="B30" s="47" t="str">
        <x:v>Cu</x:v>
      </x:c>
      <x:c r="C30" s="47" t="str">
        <x:v>Archer opener</x:v>
      </x:c>
      <x:c r="D30" s="47" t="str">
        <x:v>Conductor flow</x:v>
      </x:c>
      <x:c r="E30" s="47" t="str">
        <x:v>ᛏ△</x:v>
      </x:c>
      <x:c r="F30" s="47" t="str">
        <x:v>↺ᛏ</x:v>
      </x:c>
      <x:c r="G30" s="47" t="n">
        <x:v>30.9</x:v>
      </x:c>
      <x:c r="H30" s="47" t="n">
        <x:v>7</x:v>
      </x:c>
      <x:c r="I30" s="47" t="n">
        <x:v>5</x:v>
      </x:c>
      <x:c r="J30" s="47" t="n">
        <x:v>20.5</x:v>
      </x:c>
      <x:c r="K30" s="47" t="n">
        <x:v>53.4</x:v>
      </x:c>
      <x:c r="L30" s="47" t="str">
        <x:v>REPAIR</x:v>
      </x:c>
      <x:c r="M30" s="47" t="str">
        <x:v>ᛏ△ + ↺ᛏ + △ + ↺</x:v>
      </x:c>
      <x:c r="N30" s="47" t="str">
        <x:v>H(Archer opener) with Cu(Conductor flow): REPAIR in model.</x:v>
      </x:c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 t="str">
        <x:v>H</x:v>
      </x:c>
      <x:c r="B31" s="47" t="str">
        <x:v>Zn</x:v>
      </x:c>
      <x:c r="C31" s="47" t="str">
        <x:v>Archer opener</x:v>
      </x:c>
      <x:c r="D31" s="47" t="str">
        <x:v>Enzyme stabilizer</x:v>
      </x:c>
      <x:c r="E31" s="47" t="str">
        <x:v>ᛏ△</x:v>
      </x:c>
      <x:c r="F31" s="47" t="str">
        <x:v>◎□</x:v>
      </x:c>
      <x:c r="G31" s="47" t="n">
        <x:v>24.1</x:v>
      </x:c>
      <x:c r="H31" s="47" t="n">
        <x:v>5</x:v>
      </x:c>
      <x:c r="I31" s="47" t="n">
        <x:v>4.5</x:v>
      </x:c>
      <x:c r="J31" s="47" t="n">
        <x:v>23.5</x:v>
      </x:c>
      <x:c r="K31" s="47" t="n">
        <x:v>48.1</x:v>
      </x:c>
      <x:c r="L31" s="47" t="str">
        <x:v>REPAIR</x:v>
      </x:c>
      <x:c r="M31" s="47" t="str">
        <x:v>ᛏ△ + ◎□ + △ + ↺</x:v>
      </x:c>
      <x:c r="N31" s="47" t="str">
        <x:v>H(Archer opener) with Zn(Enzyme stabilizer): REPAIR in model.</x:v>
      </x:c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 t="str">
        <x:v>H</x:v>
      </x:c>
      <x:c r="B32" s="47" t="str">
        <x:v>Ga</x:v>
      </x:c>
      <x:c r="C32" s="47" t="str">
        <x:v>Archer opener</x:v>
      </x:c>
      <x:c r="D32" s="47" t="str">
        <x:v>Soft form gate</x:v>
      </x:c>
      <x:c r="E32" s="47" t="str">
        <x:v>ᛏ△</x:v>
      </x:c>
      <x:c r="F32" s="47" t="str">
        <x:v>□↺</x:v>
      </x:c>
      <x:c r="G32" s="47" t="n">
        <x:v>22.6</x:v>
      </x:c>
      <x:c r="H32" s="47" t="n">
        <x:v>8</x:v>
      </x:c>
      <x:c r="I32" s="47" t="n">
        <x:v>5.5</x:v>
      </x:c>
      <x:c r="J32" s="47" t="n">
        <x:v>18.5</x:v>
      </x:c>
      <x:c r="K32" s="47" t="n">
        <x:v>43.6</x:v>
      </x:c>
      <x:c r="L32" s="47" t="str">
        <x:v>REPAIR</x:v>
      </x:c>
      <x:c r="M32" s="47" t="str">
        <x:v>ᛏ△ + □↺ + △ + ↺</x:v>
      </x:c>
      <x:c r="N32" s="47" t="str">
        <x:v>H(Archer opener) with Ga(Soft form gate): REPAIR in model.</x:v>
      </x:c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 t="str">
        <x:v>H</x:v>
      </x:c>
      <x:c r="B33" s="47" t="str">
        <x:v>Ge</x:v>
      </x:c>
      <x:c r="C33" s="47" t="str">
        <x:v>Archer opener</x:v>
      </x:c>
      <x:c r="D33" s="47" t="str">
        <x:v>Semi lattice</x:v>
      </x:c>
      <x:c r="E33" s="47" t="str">
        <x:v>ᛏ△</x:v>
      </x:c>
      <x:c r="F33" s="47" t="str">
        <x:v>□◎</x:v>
      </x:c>
      <x:c r="G33" s="47" t="n">
        <x:v>24.1</x:v>
      </x:c>
      <x:c r="H33" s="47" t="n">
        <x:v>5</x:v>
      </x:c>
      <x:c r="I33" s="47" t="n">
        <x:v>5</x:v>
      </x:c>
      <x:c r="J33" s="47" t="n">
        <x:v>21</x:v>
      </x:c>
      <x:c r="K33" s="47" t="n">
        <x:v>45.1</x:v>
      </x:c>
      <x:c r="L33" s="47" t="str">
        <x:v>REPAIR</x:v>
      </x:c>
      <x:c r="M33" s="47" t="str">
        <x:v>ᛏ△ + □◎ + △ + ↺</x:v>
      </x:c>
      <x:c r="N33" s="47" t="str">
        <x:v>H(Archer opener) with Ge(Semi lattice): REPAIR in model.</x:v>
      </x:c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 t="str">
        <x:v>H</x:v>
      </x:c>
      <x:c r="B34" s="47" t="str">
        <x:v>As</x:v>
      </x:c>
      <x:c r="C34" s="47" t="str">
        <x:v>Archer opener</x:v>
      </x:c>
      <x:c r="D34" s="47" t="str">
        <x:v>Shadow gate</x:v>
      </x:c>
      <x:c r="E34" s="47" t="str">
        <x:v>ᛏ△</x:v>
      </x:c>
      <x:c r="F34" s="47" t="str">
        <x:v>∅◎</x:v>
      </x:c>
      <x:c r="G34" s="47" t="n">
        <x:v>29.6</x:v>
      </x:c>
      <x:c r="H34" s="47" t="n">
        <x:v>9</x:v>
      </x:c>
      <x:c r="I34" s="47" t="n">
        <x:v>10</x:v>
      </x:c>
      <x:c r="J34" s="47" t="n">
        <x:v>16</x:v>
      </x:c>
      <x:c r="K34" s="47" t="n">
        <x:v>44.6</x:v>
      </x:c>
      <x:c r="L34" s="47" t="str">
        <x:v>REPAIR</x:v>
      </x:c>
      <x:c r="M34" s="47" t="str">
        <x:v>ᛏ△ + ∅◎ + △ + ↺</x:v>
      </x:c>
      <x:c r="N34" s="47" t="str">
        <x:v>H(Archer opener) with As(Shadow gate): REPAIR in model.</x:v>
      </x:c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 t="str">
        <x:v>H</x:v>
      </x:c>
      <x:c r="B35" s="47" t="str">
        <x:v>Se</x:v>
      </x:c>
      <x:c r="C35" s="47" t="str">
        <x:v>Archer opener</x:v>
      </x:c>
      <x:c r="D35" s="47" t="str">
        <x:v>Trace healer</x:v>
      </x:c>
      <x:c r="E35" s="47" t="str">
        <x:v>ᛏ△</x:v>
      </x:c>
      <x:c r="F35" s="47" t="str">
        <x:v>↺◉</x:v>
      </x:c>
      <x:c r="G35" s="47" t="n">
        <x:v>33.2</x:v>
      </x:c>
      <x:c r="H35" s="47" t="n">
        <x:v>9</x:v>
      </x:c>
      <x:c r="I35" s="47" t="n">
        <x:v>6.5</x:v>
      </x:c>
      <x:c r="J35" s="47" t="n">
        <x:v>19.5</x:v>
      </x:c>
      <x:c r="K35" s="47" t="n">
        <x:v>55.2</x:v>
      </x:c>
      <x:c r="L35" s="47" t="str">
        <x:v>REPAIR</x:v>
      </x:c>
      <x:c r="M35" s="47" t="str">
        <x:v>ᛏ△ + ↺◉ + △ + ↺</x:v>
      </x:c>
      <x:c r="N35" s="47" t="str">
        <x:v>H(Archer opener) with Se(Trace healer): REPAIR in model.</x:v>
      </x:c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 t="str">
        <x:v>H</x:v>
      </x:c>
      <x:c r="B36" s="47" t="str">
        <x:v>Br</x:v>
      </x:c>
      <x:c r="C36" s="47" t="str">
        <x:v>Archer opener</x:v>
      </x:c>
      <x:c r="D36" s="47" t="str">
        <x:v>Heavy receiver</x:v>
      </x:c>
      <x:c r="E36" s="47" t="str">
        <x:v>ᛏ△</x:v>
      </x:c>
      <x:c r="F36" s="47" t="str">
        <x:v>▽∅</x:v>
      </x:c>
      <x:c r="G36" s="47" t="n">
        <x:v>46.4</x:v>
      </x:c>
      <x:c r="H36" s="47" t="n">
        <x:v>13</x:v>
      </x:c>
      <x:c r="I36" s="47" t="n">
        <x:v>8</x:v>
      </x:c>
      <x:c r="J36" s="47" t="n">
        <x:v>18.5</x:v>
      </x:c>
      <x:c r="K36" s="47" t="n">
        <x:v>69.9</x:v>
      </x:c>
      <x:c r="L36" s="47" t="str">
        <x:v>ASK</x:v>
      </x:c>
      <x:c r="M36" s="47" t="str">
        <x:v>ᛏ△ + ▽∅ + △ + ◎?</x:v>
      </x:c>
      <x:c r="N36" s="47" t="str">
        <x:v>H(Archer opener) with Br(Heavy receiver): ASK in model.</x:v>
      </x:c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 t="str">
        <x:v>H</x:v>
      </x:c>
      <x:c r="B37" s="47" t="str">
        <x:v>Kr</x:v>
      </x:c>
      <x:c r="C37" s="47" t="str">
        <x:v>Archer opener</x:v>
      </x:c>
      <x:c r="D37" s="47" t="str">
        <x:v>Closed Gate light</x:v>
      </x:c>
      <x:c r="E37" s="47" t="str">
        <x:v>ᛏ△</x:v>
      </x:c>
      <x:c r="F37" s="47" t="str">
        <x:v>◎✓</x:v>
      </x:c>
      <x:c r="G37" s="47" t="n">
        <x:v>2.8</x:v>
      </x:c>
      <x:c r="H37" s="47" t="n">
        <x:v>4</x:v>
      </x:c>
      <x:c r="I37" s="47" t="n">
        <x:v>3</x:v>
      </x:c>
      <x:c r="J37" s="47" t="n">
        <x:v>26.5</x:v>
      </x:c>
      <x:c r="K37" s="47" t="n">
        <x:v>30.3</x:v>
      </x:c>
      <x:c r="L37" s="47" t="str">
        <x:v>HOLD</x:v>
      </x:c>
      <x:c r="M37" s="47" t="str">
        <x:v>ᛏ△ + ◎✓ + △ + HOLD</x:v>
      </x:c>
      <x:c r="N37" s="47" t="str">
        <x:v>H(Archer opener) with Kr(Closed Gate light): HOLD in model.</x:v>
      </x:c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 t="str">
        <x:v>He</x:v>
      </x:c>
      <x:c r="B38" s="47" t="str">
        <x:v>He</x:v>
      </x:c>
      <x:c r="C38" s="47" t="str">
        <x:v>Closed Gate</x:v>
      </x:c>
      <x:c r="D38" s="47" t="str">
        <x:v>Closed Gate</x:v>
      </x:c>
      <x:c r="E38" s="47" t="str">
        <x:v>◎✓</x:v>
      </x:c>
      <x:c r="F38" s="47" t="str">
        <x:v>◎✓</x:v>
      </x:c>
      <x:c r="G38" s="47" t="n">
        <x:v>0.3</x:v>
      </x:c>
      <x:c r="H38" s="47" t="n">
        <x:v>20</x:v>
      </x:c>
      <x:c r="I38" s="47" t="n">
        <x:v>1</x:v>
      </x:c>
      <x:c r="J38" s="47" t="n">
        <x:v>39</x:v>
      </x:c>
      <x:c r="K38" s="47" t="n">
        <x:v>58.3</x:v>
      </x:c>
      <x:c r="L38" s="47" t="str">
        <x:v>ASK</x:v>
      </x:c>
      <x:c r="M38" s="47" t="str">
        <x:v>◎✓ + ◎✓ + △ + ◎?</x:v>
      </x:c>
      <x:c r="N38" s="47" t="str">
        <x:v>He(Closed Gate) with He(Closed Gate): ASK in model.</x:v>
      </x:c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 t="str">
        <x:v>He</x:v>
      </x:c>
      <x:c r="B39" s="47" t="str">
        <x:v>Li</x:v>
      </x:c>
      <x:c r="C39" s="47" t="str">
        <x:v>Closed Gate</x:v>
      </x:c>
      <x:c r="D39" s="47" t="str">
        <x:v>Donor opener</x:v>
      </x:c>
      <x:c r="E39" s="47" t="str">
        <x:v>◎✓</x:v>
      </x:c>
      <x:c r="F39" s="47" t="str">
        <x:v>△ᛏ</x:v>
      </x:c>
      <x:c r="G39" s="47" t="n">
        <x:v>2.4</x:v>
      </x:c>
      <x:c r="H39" s="47" t="n">
        <x:v>8</x:v>
      </x:c>
      <x:c r="I39" s="47" t="n">
        <x:v>5</x:v>
      </x:c>
      <x:c r="J39" s="47" t="n">
        <x:v>26</x:v>
      </x:c>
      <x:c r="K39" s="47" t="n">
        <x:v>31.4</x:v>
      </x:c>
      <x:c r="L39" s="47" t="str">
        <x:v>HOLD</x:v>
      </x:c>
      <x:c r="M39" s="47" t="str">
        <x:v>◎✓ + △ᛏ + △ + HOLD</x:v>
      </x:c>
      <x:c r="N39" s="47" t="str">
        <x:v>He(Closed Gate) with Li(Donor opener): HOLD in model.</x:v>
      </x:c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 t="str">
        <x:v>He</x:v>
      </x:c>
      <x:c r="B40" s="47" t="str">
        <x:v>Be</x:v>
      </x:c>
      <x:c r="C40" s="47" t="str">
        <x:v>Closed Gate</x:v>
      </x:c>
      <x:c r="D40" s="47" t="str">
        <x:v>Structure donor</x:v>
      </x:c>
      <x:c r="E40" s="47" t="str">
        <x:v>◎✓</x:v>
      </x:c>
      <x:c r="F40" s="47" t="str">
        <x:v>□△</x:v>
      </x:c>
      <x:c r="G40" s="47" t="n">
        <x:v>1.9</x:v>
      </x:c>
      <x:c r="H40" s="47" t="n">
        <x:v>16</x:v>
      </x:c>
      <x:c r="I40" s="47" t="n">
        <x:v>4</x:v>
      </x:c>
      <x:c r="J40" s="47" t="n">
        <x:v>29.5</x:v>
      </x:c>
      <x:c r="K40" s="47" t="n">
        <x:v>43.4</x:v>
      </x:c>
      <x:c r="L40" s="47" t="str">
        <x:v>REPAIR</x:v>
      </x:c>
      <x:c r="M40" s="47" t="str">
        <x:v>◎✓ + □△ + △ + ↺</x:v>
      </x:c>
      <x:c r="N40" s="47" t="str">
        <x:v>He(Closed Gate) with Be(Structure donor): REPAIR in model.</x:v>
      </x:c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 t="str">
        <x:v>He</x:v>
      </x:c>
      <x:c r="B41" s="47" t="str">
        <x:v>B</x:v>
      </x:c>
      <x:c r="C41" s="47" t="str">
        <x:v>Closed Gate</x:v>
      </x:c>
      <x:c r="D41" s="47" t="str">
        <x:v>Triangle former</x:v>
      </x:c>
      <x:c r="E41" s="47" t="str">
        <x:v>◎✓</x:v>
      </x:c>
      <x:c r="F41" s="47" t="str">
        <x:v>△□</x:v>
      </x:c>
      <x:c r="G41" s="47" t="n">
        <x:v>2.4</x:v>
      </x:c>
      <x:c r="H41" s="47" t="n">
        <x:v>18</x:v>
      </x:c>
      <x:c r="I41" s="47" t="n">
        <x:v>3.5</x:v>
      </x:c>
      <x:c r="J41" s="47" t="n">
        <x:v>31</x:v>
      </x:c>
      <x:c r="K41" s="47" t="n">
        <x:v>47.9</x:v>
      </x:c>
      <x:c r="L41" s="47" t="str">
        <x:v>REPAIR</x:v>
      </x:c>
      <x:c r="M41" s="47" t="str">
        <x:v>◎✓ + △□ + △ + ↺</x:v>
      </x:c>
      <x:c r="N41" s="47" t="str">
        <x:v>He(Closed Gate) with B(Triangle former): REPAIR in model.</x:v>
      </x:c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 t="str">
        <x:v>He</x:v>
      </x:c>
      <x:c r="B42" s="47" t="str">
        <x:v>C</x:v>
      </x:c>
      <x:c r="C42" s="47" t="str">
        <x:v>Closed Gate</x:v>
      </x:c>
      <x:c r="D42" s="47" t="str">
        <x:v>Engineer grammar</x:v>
      </x:c>
      <x:c r="E42" s="47" t="str">
        <x:v>◎✓</x:v>
      </x:c>
      <x:c r="F42" s="47" t="str">
        <x:v>□◉</x:v>
      </x:c>
      <x:c r="G42" s="47" t="n">
        <x:v>2.3</x:v>
      </x:c>
      <x:c r="H42" s="47" t="n">
        <x:v>17</x:v>
      </x:c>
      <x:c r="I42" s="47" t="n">
        <x:v>2.5</x:v>
      </x:c>
      <x:c r="J42" s="47" t="n">
        <x:v>34.5</x:v>
      </x:c>
      <x:c r="K42" s="47" t="n">
        <x:v>51.3</x:v>
      </x:c>
      <x:c r="L42" s="47" t="str">
        <x:v>REPAIR</x:v>
      </x:c>
      <x:c r="M42" s="47" t="str">
        <x:v>◎✓ + □◉ + △ + ↺</x:v>
      </x:c>
      <x:c r="N42" s="47" t="str">
        <x:v>He(Closed Gate) with C(Engineer grammar): REPAIR in model.</x:v>
      </x:c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 t="str">
        <x:v>He</x:v>
      </x:c>
      <x:c r="B43" s="47" t="str">
        <x:v>N</x:v>
      </x:c>
      <x:c r="C43" s="47" t="str">
        <x:v>Closed Gate</x:v>
      </x:c>
      <x:c r="D43" s="47" t="str">
        <x:v>Bridge guardian</x:v>
      </x:c>
      <x:c r="E43" s="47" t="str">
        <x:v>◎✓</x:v>
      </x:c>
      <x:c r="F43" s="47" t="str">
        <x:v>◎ᛉ</x:v>
      </x:c>
      <x:c r="G43" s="47" t="n">
        <x:v>2.9</x:v>
      </x:c>
      <x:c r="H43" s="47" t="n">
        <x:v>16</x:v>
      </x:c>
      <x:c r="I43" s="47" t="n">
        <x:v>3</x:v>
      </x:c>
      <x:c r="J43" s="47" t="n">
        <x:v>34</x:v>
      </x:c>
      <x:c r="K43" s="47" t="n">
        <x:v>49.9</x:v>
      </x:c>
      <x:c r="L43" s="47" t="str">
        <x:v>REPAIR</x:v>
      </x:c>
      <x:c r="M43" s="47" t="str">
        <x:v>◎✓ + ◎ᛉ + △ + ↺</x:v>
      </x:c>
      <x:c r="N43" s="47" t="str">
        <x:v>He(Closed Gate) with N(Bridge guardian): REPAIR in model.</x:v>
      </x:c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 t="str">
        <x:v>He</x:v>
      </x:c>
      <x:c r="B44" s="47" t="str">
        <x:v>O</x:v>
      </x:c>
      <x:c r="C44" s="47" t="str">
        <x:v>Closed Gate</x:v>
      </x:c>
      <x:c r="D44" s="47" t="str">
        <x:v>Receiver activator</x:v>
      </x:c>
      <x:c r="E44" s="47" t="str">
        <x:v>◎✓</x:v>
      </x:c>
      <x:c r="F44" s="47" t="str">
        <x:v>▽△</x:v>
      </x:c>
      <x:c r="G44" s="47" t="n">
        <x:v>4.1</x:v>
      </x:c>
      <x:c r="H44" s="47" t="n">
        <x:v>12</x:v>
      </x:c>
      <x:c r="I44" s="47" t="n">
        <x:v>4</x:v>
      </x:c>
      <x:c r="J44" s="47" t="n">
        <x:v>32.5</x:v>
      </x:c>
      <x:c r="K44" s="47" t="n">
        <x:v>44.6</x:v>
      </x:c>
      <x:c r="L44" s="47" t="str">
        <x:v>REPAIR</x:v>
      </x:c>
      <x:c r="M44" s="47" t="str">
        <x:v>◎✓ + ▽△ + △ + ↺</x:v>
      </x:c>
      <x:c r="N44" s="47" t="str">
        <x:v>He(Closed Gate) with O(Receiver activator): REPAIR in model.</x:v>
      </x:c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 t="str">
        <x:v>He</x:v>
      </x:c>
      <x:c r="B45" s="47" t="str">
        <x:v>F</x:v>
      </x:c>
      <x:c r="C45" s="47" t="str">
        <x:v>Closed Gate</x:v>
      </x:c>
      <x:c r="D45" s="47" t="str">
        <x:v>Strong receiver</x:v>
      </x:c>
      <x:c r="E45" s="47" t="str">
        <x:v>◎✓</x:v>
      </x:c>
      <x:c r="F45" s="47" t="str">
        <x:v>▽◎</x:v>
      </x:c>
      <x:c r="G45" s="47" t="n">
        <x:v>4.4</x:v>
      </x:c>
      <x:c r="H45" s="47" t="n">
        <x:v>10</x:v>
      </x:c>
      <x:c r="I45" s="47" t="n">
        <x:v>5.5</x:v>
      </x:c>
      <x:c r="J45" s="47" t="n">
        <x:v>32</x:v>
      </x:c>
      <x:c r="K45" s="47" t="n">
        <x:v>40.9</x:v>
      </x:c>
      <x:c r="L45" s="47" t="str">
        <x:v>HOLD</x:v>
      </x:c>
      <x:c r="M45" s="47" t="str">
        <x:v>◎✓ + ▽◎ + △ + HOLD</x:v>
      </x:c>
      <x:c r="N45" s="47" t="str">
        <x:v>He(Closed Gate) with F(Strong receiver): HOLD in model.</x:v>
      </x:c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 t="str">
        <x:v>He</x:v>
      </x:c>
      <x:c r="B46" s="47" t="str">
        <x:v>Ne</x:v>
      </x:c>
      <x:c r="C46" s="47" t="str">
        <x:v>Closed Gate</x:v>
      </x:c>
      <x:c r="D46" s="47" t="str">
        <x:v>Closed Gate</x:v>
      </x:c>
      <x:c r="E46" s="47" t="str">
        <x:v>◎✓</x:v>
      </x:c>
      <x:c r="F46" s="47" t="str">
        <x:v>◎✓</x:v>
      </x:c>
      <x:c r="G46" s="47" t="n">
        <x:v>0.3</x:v>
      </x:c>
      <x:c r="H46" s="47" t="n">
        <x:v>19</x:v>
      </x:c>
      <x:c r="I46" s="47" t="n">
        <x:v>1</x:v>
      </x:c>
      <x:c r="J46" s="47" t="n">
        <x:v>39</x:v>
      </x:c>
      <x:c r="K46" s="47" t="n">
        <x:v>57.3</x:v>
      </x:c>
      <x:c r="L46" s="47" t="str">
        <x:v>REPAIR</x:v>
      </x:c>
      <x:c r="M46" s="47" t="str">
        <x:v>◎✓ + ◎✓ + △ + ↺</x:v>
      </x:c>
      <x:c r="N46" s="47" t="str">
        <x:v>He(Closed Gate) with Ne(Closed Gate): REPAIR in model.</x:v>
      </x:c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 t="str">
        <x:v>He</x:v>
      </x:c>
      <x:c r="B47" s="47" t="str">
        <x:v>Na</x:v>
      </x:c>
      <x:c r="C47" s="47" t="str">
        <x:v>Closed Gate</x:v>
      </x:c>
      <x:c r="D47" s="47" t="str">
        <x:v>Strong donor</x:v>
      </x:c>
      <x:c r="E47" s="47" t="str">
        <x:v>◎✓</x:v>
      </x:c>
      <x:c r="F47" s="47" t="str">
        <x:v>△ᛏ</x:v>
      </x:c>
      <x:c r="G47" s="47" t="n">
        <x:v>2.5</x:v>
      </x:c>
      <x:c r="H47" s="47" t="n">
        <x:v>9</x:v>
      </x:c>
      <x:c r="I47" s="47" t="n">
        <x:v>6</x:v>
      </x:c>
      <x:c r="J47" s="47" t="n">
        <x:v>25.5</x:v>
      </x:c>
      <x:c r="K47" s="47" t="n">
        <x:v>31</x:v>
      </x:c>
      <x:c r="L47" s="47" t="str">
        <x:v>HOLD</x:v>
      </x:c>
      <x:c r="M47" s="47" t="str">
        <x:v>◎✓ + △ᛏ + △ + HOLD</x:v>
      </x:c>
      <x:c r="N47" s="47" t="str">
        <x:v>He(Closed Gate) with Na(Strong donor): HOLD in model.</x:v>
      </x:c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 t="str">
        <x:v>He</x:v>
      </x:c>
      <x:c r="B48" s="47" t="str">
        <x:v>Mg</x:v>
      </x:c>
      <x:c r="C48" s="47" t="str">
        <x:v>Closed Gate</x:v>
      </x:c>
      <x:c r="D48" s="47" t="str">
        <x:v>Structure donor</x:v>
      </x:c>
      <x:c r="E48" s="47" t="str">
        <x:v>◎✓</x:v>
      </x:c>
      <x:c r="F48" s="47" t="str">
        <x:v>□△</x:v>
      </x:c>
      <x:c r="G48" s="47" t="n">
        <x:v>2.1</x:v>
      </x:c>
      <x:c r="H48" s="47" t="n">
        <x:v>17</x:v>
      </x:c>
      <x:c r="I48" s="47" t="n">
        <x:v>4</x:v>
      </x:c>
      <x:c r="J48" s="47" t="n">
        <x:v>30</x:v>
      </x:c>
      <x:c r="K48" s="47" t="n">
        <x:v>45.1</x:v>
      </x:c>
      <x:c r="L48" s="47" t="str">
        <x:v>REPAIR</x:v>
      </x:c>
      <x:c r="M48" s="47" t="str">
        <x:v>◎✓ + □△ + △ + ↺</x:v>
      </x:c>
      <x:c r="N48" s="47" t="str">
        <x:v>He(Closed Gate) with Mg(Structure donor): REPAIR in model.</x:v>
      </x:c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 t="str">
        <x:v>He</x:v>
      </x:c>
      <x:c r="B49" s="47" t="str">
        <x:v>Al</x:v>
      </x:c>
      <x:c r="C49" s="47" t="str">
        <x:v>Closed Gate</x:v>
      </x:c>
      <x:c r="D49" s="47" t="str">
        <x:v>Form builder</x:v>
      </x:c>
      <x:c r="E49" s="47" t="str">
        <x:v>◎✓</x:v>
      </x:c>
      <x:c r="F49" s="47" t="str">
        <x:v>□◎</x:v>
      </x:c>
      <x:c r="G49" s="47" t="n">
        <x:v>2.2</x:v>
      </x:c>
      <x:c r="H49" s="47" t="n">
        <x:v>19</x:v>
      </x:c>
      <x:c r="I49" s="47" t="n">
        <x:v>3</x:v>
      </x:c>
      <x:c r="J49" s="47" t="n">
        <x:v>32</x:v>
      </x:c>
      <x:c r="K49" s="47" t="n">
        <x:v>50.2</x:v>
      </x:c>
      <x:c r="L49" s="47" t="str">
        <x:v>REPAIR</x:v>
      </x:c>
      <x:c r="M49" s="47" t="str">
        <x:v>◎✓ + □◎ + △ + ↺</x:v>
      </x:c>
      <x:c r="N49" s="47" t="str">
        <x:v>He(Closed Gate) with Al(Form builder): REPAIR in model.</x:v>
      </x:c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 t="str">
        <x:v>He</x:v>
      </x:c>
      <x:c r="B50" s="47" t="str">
        <x:v>Si</x:v>
      </x:c>
      <x:c r="C50" s="47" t="str">
        <x:v>Closed Gate</x:v>
      </x:c>
      <x:c r="D50" s="47" t="str">
        <x:v>Lattice engineer</x:v>
      </x:c>
      <x:c r="E50" s="47" t="str">
        <x:v>◎✓</x:v>
      </x:c>
      <x:c r="F50" s="47" t="str">
        <x:v>□◉</x:v>
      </x:c>
      <x:c r="G50" s="47" t="n">
        <x:v>2.1</x:v>
      </x:c>
      <x:c r="H50" s="47" t="n">
        <x:v>18</x:v>
      </x:c>
      <x:c r="I50" s="47" t="n">
        <x:v>2.5</x:v>
      </x:c>
      <x:c r="J50" s="47" t="n">
        <x:v>34.5</x:v>
      </x:c>
      <x:c r="K50" s="47" t="n">
        <x:v>52.1</x:v>
      </x:c>
      <x:c r="L50" s="47" t="str">
        <x:v>REPAIR</x:v>
      </x:c>
      <x:c r="M50" s="47" t="str">
        <x:v>◎✓ + □◉ + △ + ↺</x:v>
      </x:c>
      <x:c r="N50" s="47" t="str">
        <x:v>He(Closed Gate) with Si(Lattice engineer): REPAIR in model.</x:v>
      </x:c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 t="str">
        <x:v>He</x:v>
      </x:c>
      <x:c r="B51" s="47" t="str">
        <x:v>P</x:v>
      </x:c>
      <x:c r="C51" s="47" t="str">
        <x:v>Closed Gate</x:v>
      </x:c>
      <x:c r="D51" s="47" t="str">
        <x:v>Energy memory</x:v>
      </x:c>
      <x:c r="E51" s="47" t="str">
        <x:v>◎✓</x:v>
      </x:c>
      <x:c r="F51" s="47" t="str">
        <x:v>◉△</x:v>
      </x:c>
      <x:c r="G51" s="47" t="n">
        <x:v>3.2</x:v>
      </x:c>
      <x:c r="H51" s="47" t="n">
        <x:v>15</x:v>
      </x:c>
      <x:c r="I51" s="47" t="n">
        <x:v>4.5</x:v>
      </x:c>
      <x:c r="J51" s="47" t="n">
        <x:v>32</x:v>
      </x:c>
      <x:c r="K51" s="47" t="n">
        <x:v>45.7</x:v>
      </x:c>
      <x:c r="L51" s="47" t="str">
        <x:v>REPAIR</x:v>
      </x:c>
      <x:c r="M51" s="47" t="str">
        <x:v>◎✓ + ◉△ + △ + ↺</x:v>
      </x:c>
      <x:c r="N51" s="47" t="str">
        <x:v>He(Closed Gate) with P(Energy memory): REPAIR in model.</x:v>
      </x:c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 t="str">
        <x:v>He</x:v>
      </x:c>
      <x:c r="B52" s="47" t="str">
        <x:v>S</x:v>
      </x:c>
      <x:c r="C52" s="47" t="str">
        <x:v>Closed Gate</x:v>
      </x:c>
      <x:c r="D52" s="47" t="str">
        <x:v>Connector phase</x:v>
      </x:c>
      <x:c r="E52" s="47" t="str">
        <x:v>◎✓</x:v>
      </x:c>
      <x:c r="F52" s="47" t="str">
        <x:v>↺▽</x:v>
      </x:c>
      <x:c r="G52" s="47" t="n">
        <x:v>3.1</x:v>
      </x:c>
      <x:c r="H52" s="47" t="n">
        <x:v>16</x:v>
      </x:c>
      <x:c r="I52" s="47" t="n">
        <x:v>4</x:v>
      </x:c>
      <x:c r="J52" s="47" t="n">
        <x:v>31.5</x:v>
      </x:c>
      <x:c r="K52" s="47" t="n">
        <x:v>46.6</x:v>
      </x:c>
      <x:c r="L52" s="47" t="str">
        <x:v>REPAIR</x:v>
      </x:c>
      <x:c r="M52" s="47" t="str">
        <x:v>◎✓ + ↺▽ + △ + ↺</x:v>
      </x:c>
      <x:c r="N52" s="47" t="str">
        <x:v>He(Closed Gate) with S(Connector phase): REPAIR in model.</x:v>
      </x:c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 t="str">
        <x:v>He</x:v>
      </x:c>
      <x:c r="B53" s="47" t="str">
        <x:v>Cl</x:v>
      </x:c>
      <x:c r="C53" s="47" t="str">
        <x:v>Closed Gate</x:v>
      </x:c>
      <x:c r="D53" s="47" t="str">
        <x:v>Receiver closure</x:v>
      </x:c>
      <x:c r="E53" s="47" t="str">
        <x:v>◎✓</x:v>
      </x:c>
      <x:c r="F53" s="47" t="str">
        <x:v>▽◎</x:v>
      </x:c>
      <x:c r="G53" s="47" t="n">
        <x:v>4.1</x:v>
      </x:c>
      <x:c r="H53" s="47" t="n">
        <x:v>11</x:v>
      </x:c>
      <x:c r="I53" s="47" t="n">
        <x:v>5</x:v>
      </x:c>
      <x:c r="J53" s="47" t="n">
        <x:v>32.5</x:v>
      </x:c>
      <x:c r="K53" s="47" t="n">
        <x:v>42.6</x:v>
      </x:c>
      <x:c r="L53" s="47" t="str">
        <x:v>REPAIR</x:v>
      </x:c>
      <x:c r="M53" s="47" t="str">
        <x:v>◎✓ + ▽◎ + △ + ↺</x:v>
      </x:c>
      <x:c r="N53" s="47" t="str">
        <x:v>He(Closed Gate) with Cl(Receiver closure): REPAIR in model.</x:v>
      </x:c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 t="str">
        <x:v>He</x:v>
      </x:c>
      <x:c r="B54" s="47" t="str">
        <x:v>Ar</x:v>
      </x:c>
      <x:c r="C54" s="47" t="str">
        <x:v>Closed Gate</x:v>
      </x:c>
      <x:c r="D54" s="47" t="str">
        <x:v>Closed Gate</x:v>
      </x:c>
      <x:c r="E54" s="47" t="str">
        <x:v>◎✓</x:v>
      </x:c>
      <x:c r="F54" s="47" t="str">
        <x:v>◎✓</x:v>
      </x:c>
      <x:c r="G54" s="47" t="n">
        <x:v>0.3</x:v>
      </x:c>
      <x:c r="H54" s="47" t="n">
        <x:v>19</x:v>
      </x:c>
      <x:c r="I54" s="47" t="n">
        <x:v>1</x:v>
      </x:c>
      <x:c r="J54" s="47" t="n">
        <x:v>39</x:v>
      </x:c>
      <x:c r="K54" s="47" t="n">
        <x:v>57.3</x:v>
      </x:c>
      <x:c r="L54" s="47" t="str">
        <x:v>REPAIR</x:v>
      </x:c>
      <x:c r="M54" s="47" t="str">
        <x:v>◎✓ + ◎✓ + △ + ↺</x:v>
      </x:c>
      <x:c r="N54" s="47" t="str">
        <x:v>He(Closed Gate) with Ar(Closed Gate): REPAIR in model.</x:v>
      </x:c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 t="str">
        <x:v>He</x:v>
      </x:c>
      <x:c r="B55" s="47" t="str">
        <x:v>K</x:v>
      </x:c>
      <x:c r="C55" s="47" t="str">
        <x:v>Closed Gate</x:v>
      </x:c>
      <x:c r="D55" s="47" t="str">
        <x:v>Heavy opener</x:v>
      </x:c>
      <x:c r="E55" s="47" t="str">
        <x:v>◎✓</x:v>
      </x:c>
      <x:c r="F55" s="47" t="str">
        <x:v>△ᛏ</x:v>
      </x:c>
      <x:c r="G55" s="47" t="n">
        <x:v>2.6</x:v>
      </x:c>
      <x:c r="H55" s="47" t="n">
        <x:v>9</x:v>
      </x:c>
      <x:c r="I55" s="47" t="n">
        <x:v>7</x:v>
      </x:c>
      <x:c r="J55" s="47" t="n">
        <x:v>24.5</x:v>
      </x:c>
      <x:c r="K55" s="47" t="n">
        <x:v>29.1</x:v>
      </x:c>
      <x:c r="L55" s="47" t="str">
        <x:v>HOLD</x:v>
      </x:c>
      <x:c r="M55" s="47" t="str">
        <x:v>◎✓ + △ᛏ + △ + HOLD</x:v>
      </x:c>
      <x:c r="N55" s="47" t="str">
        <x:v>He(Closed Gate) with K(Heavy opener): HOLD in model.</x:v>
      </x:c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 t="str">
        <x:v>He</x:v>
      </x:c>
      <x:c r="B56" s="47" t="str">
        <x:v>Ca</x:v>
      </x:c>
      <x:c r="C56" s="47" t="str">
        <x:v>Closed Gate</x:v>
      </x:c>
      <x:c r="D56" s="47" t="str">
        <x:v>Tank structure</x:v>
      </x:c>
      <x:c r="E56" s="47" t="str">
        <x:v>◎✓</x:v>
      </x:c>
      <x:c r="F56" s="47" t="str">
        <x:v>ᛉ□</x:v>
      </x:c>
      <x:c r="G56" s="47" t="n">
        <x:v>2.1</x:v>
      </x:c>
      <x:c r="H56" s="47" t="n">
        <x:v>19</x:v>
      </x:c>
      <x:c r="I56" s="47" t="n">
        <x:v>3.5</x:v>
      </x:c>
      <x:c r="J56" s="47" t="n">
        <x:v>32</x:v>
      </x:c>
      <x:c r="K56" s="47" t="n">
        <x:v>49.6</x:v>
      </x:c>
      <x:c r="L56" s="47" t="str">
        <x:v>REPAIR</x:v>
      </x:c>
      <x:c r="M56" s="47" t="str">
        <x:v>◎✓ + ᛉ□ + △ + ↺</x:v>
      </x:c>
      <x:c r="N56" s="47" t="str">
        <x:v>He(Closed Gate) with Ca(Tank structure): REPAIR in model.</x:v>
      </x:c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 t="str">
        <x:v>He</x:v>
      </x:c>
      <x:c r="B57" s="47" t="str">
        <x:v>Sc</x:v>
      </x:c>
      <x:c r="C57" s="47" t="str">
        <x:v>Closed Gate</x:v>
      </x:c>
      <x:c r="D57" s="47" t="str">
        <x:v>Transition bridge</x:v>
      </x:c>
      <x:c r="E57" s="47" t="str">
        <x:v>◎✓</x:v>
      </x:c>
      <x:c r="F57" s="47" t="str">
        <x:v>↺□</x:v>
      </x:c>
      <x:c r="G57" s="47" t="n">
        <x:v>2.2</x:v>
      </x:c>
      <x:c r="H57" s="47" t="n">
        <x:v>18</x:v>
      </x:c>
      <x:c r="I57" s="47" t="n">
        <x:v>3.5</x:v>
      </x:c>
      <x:c r="J57" s="47" t="n">
        <x:v>31.5</x:v>
      </x:c>
      <x:c r="K57" s="47" t="n">
        <x:v>48.2</x:v>
      </x:c>
      <x:c r="L57" s="47" t="str">
        <x:v>REPAIR</x:v>
      </x:c>
      <x:c r="M57" s="47" t="str">
        <x:v>◎✓ + ↺□ + △ + ↺</x:v>
      </x:c>
      <x:c r="N57" s="47" t="str">
        <x:v>He(Closed Gate) with Sc(Transition bridge): REPAIR in model.</x:v>
      </x:c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 t="str">
        <x:v>He</x:v>
      </x:c>
      <x:c r="B58" s="47" t="str">
        <x:v>Ti</x:v>
      </x:c>
      <x:c r="C58" s="47" t="str">
        <x:v>Closed Gate</x:v>
      </x:c>
      <x:c r="D58" s="47" t="str">
        <x:v>Strong structure</x:v>
      </x:c>
      <x:c r="E58" s="47" t="str">
        <x:v>◎✓</x:v>
      </x:c>
      <x:c r="F58" s="47" t="str">
        <x:v>ᛉ□</x:v>
      </x:c>
      <x:c r="G58" s="47" t="n">
        <x:v>2.2</x:v>
      </x:c>
      <x:c r="H58" s="47" t="n">
        <x:v>19</x:v>
      </x:c>
      <x:c r="I58" s="47" t="n">
        <x:v>2.5</x:v>
      </x:c>
      <x:c r="J58" s="47" t="n">
        <x:v>34.5</x:v>
      </x:c>
      <x:c r="K58" s="47" t="n">
        <x:v>53.2</x:v>
      </x:c>
      <x:c r="L58" s="47" t="str">
        <x:v>REPAIR</x:v>
      </x:c>
      <x:c r="M58" s="47" t="str">
        <x:v>◎✓ + ᛉ□ + △ + ↺</x:v>
      </x:c>
      <x:c r="N58" s="47" t="str">
        <x:v>He(Closed Gate) with Ti(Strong structure): REPAIR in model.</x:v>
      </x:c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 t="str">
        <x:v>He</x:v>
      </x:c>
      <x:c r="B59" s="47" t="str">
        <x:v>V</x:v>
      </x:c>
      <x:c r="C59" s="47" t="str">
        <x:v>Closed Gate</x:v>
      </x:c>
      <x:c r="D59" s="47" t="str">
        <x:v>Multi-state gate</x:v>
      </x:c>
      <x:c r="E59" s="47" t="str">
        <x:v>◎✓</x:v>
      </x:c>
      <x:c r="F59" s="47" t="str">
        <x:v>◎↺</x:v>
      </x:c>
      <x:c r="G59" s="47" t="n">
        <x:v>2.8</x:v>
      </x:c>
      <x:c r="H59" s="47" t="n">
        <x:v>18</x:v>
      </x:c>
      <x:c r="I59" s="47" t="n">
        <x:v>5</x:v>
      </x:c>
      <x:c r="J59" s="47" t="n">
        <x:v>32</x:v>
      </x:c>
      <x:c r="K59" s="47" t="n">
        <x:v>47.8</x:v>
      </x:c>
      <x:c r="L59" s="47" t="str">
        <x:v>REPAIR</x:v>
      </x:c>
      <x:c r="M59" s="47" t="str">
        <x:v>◎✓ + ◎↺ + △ + ↺</x:v>
      </x:c>
      <x:c r="N59" s="47" t="str">
        <x:v>He(Closed Gate) with V(Multi-state gate): REPAIR in model.</x:v>
      </x:c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 t="str">
        <x:v>He</x:v>
      </x:c>
      <x:c r="B60" s="47" t="str">
        <x:v>Cr</x:v>
      </x:c>
      <x:c r="C60" s="47" t="str">
        <x:v>Closed Gate</x:v>
      </x:c>
      <x:c r="D60" s="47" t="str">
        <x:v>Surface guardian</x:v>
      </x:c>
      <x:c r="E60" s="47" t="str">
        <x:v>◎✓</x:v>
      </x:c>
      <x:c r="F60" s="47" t="str">
        <x:v>ᛉ◎</x:v>
      </x:c>
      <x:c r="G60" s="47" t="n">
        <x:v>2.6</x:v>
      </x:c>
      <x:c r="H60" s="47" t="n">
        <x:v>20</x:v>
      </x:c>
      <x:c r="I60" s="47" t="n">
        <x:v>4</x:v>
      </x:c>
      <x:c r="J60" s="47" t="n">
        <x:v>34.5</x:v>
      </x:c>
      <x:c r="K60" s="47" t="n">
        <x:v>53.1</x:v>
      </x:c>
      <x:c r="L60" s="47" t="str">
        <x:v>REPAIR</x:v>
      </x:c>
      <x:c r="M60" s="47" t="str">
        <x:v>◎✓ + ᛉ◎ + △ + ↺</x:v>
      </x:c>
      <x:c r="N60" s="47" t="str">
        <x:v>He(Closed Gate) with Cr(Surface guardian): REPAIR in model.</x:v>
      </x:c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 t="str">
        <x:v>He</x:v>
      </x:c>
      <x:c r="B61" s="47" t="str">
        <x:v>Mn</x:v>
      </x:c>
      <x:c r="C61" s="47" t="str">
        <x:v>Closed Gate</x:v>
      </x:c>
      <x:c r="D61" s="47" t="str">
        <x:v>Redox archer</x:v>
      </x:c>
      <x:c r="E61" s="47" t="str">
        <x:v>◎✓</x:v>
      </x:c>
      <x:c r="F61" s="47" t="str">
        <x:v>ᛏ↺</x:v>
      </x:c>
      <x:c r="G61" s="47" t="n">
        <x:v>3.2</x:v>
      </x:c>
      <x:c r="H61" s="47" t="n">
        <x:v>16</x:v>
      </x:c>
      <x:c r="I61" s="47" t="n">
        <x:v>6</x:v>
      </x:c>
      <x:c r="J61" s="47" t="n">
        <x:v>30.5</x:v>
      </x:c>
      <x:c r="K61" s="47" t="n">
        <x:v>43.7</x:v>
      </x:c>
      <x:c r="L61" s="47" t="str">
        <x:v>REPAIR</x:v>
      </x:c>
      <x:c r="M61" s="47" t="str">
        <x:v>◎✓ + ᛏ↺ + △ + ↺</x:v>
      </x:c>
      <x:c r="N61" s="47" t="str">
        <x:v>He(Closed Gate) with Mn(Redox archer): REPAIR in model.</x:v>
      </x:c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 t="str">
        <x:v>He</x:v>
      </x:c>
      <x:c r="B62" s="47" t="str">
        <x:v>Fe</x:v>
      </x:c>
      <x:c r="C62" s="47" t="str">
        <x:v>Closed Gate</x:v>
      </x:c>
      <x:c r="D62" s="47" t="str">
        <x:v>Tank memory</x:v>
      </x:c>
      <x:c r="E62" s="47" t="str">
        <x:v>◎✓</x:v>
      </x:c>
      <x:c r="F62" s="47" t="str">
        <x:v>ᛉ◉</x:v>
      </x:c>
      <x:c r="G62" s="47" t="n">
        <x:v>3</x:v>
      </x:c>
      <x:c r="H62" s="47" t="n">
        <x:v>19</x:v>
      </x:c>
      <x:c r="I62" s="47" t="n">
        <x:v>4</x:v>
      </x:c>
      <x:c r="J62" s="47" t="n">
        <x:v>33.5</x:v>
      </x:c>
      <x:c r="K62" s="47" t="n">
        <x:v>51.5</x:v>
      </x:c>
      <x:c r="L62" s="47" t="str">
        <x:v>REPAIR</x:v>
      </x:c>
      <x:c r="M62" s="47" t="str">
        <x:v>◎✓ + ᛉ◉ + △ + ↺</x:v>
      </x:c>
      <x:c r="N62" s="47" t="str">
        <x:v>He(Closed Gate) with Fe(Tank memory): REPAIR in model.</x:v>
      </x:c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 t="str">
        <x:v>He</x:v>
      </x:c>
      <x:c r="B63" s="47" t="str">
        <x:v>Co</x:v>
      </x:c>
      <x:c r="C63" s="47" t="str">
        <x:v>Closed Gate</x:v>
      </x:c>
      <x:c r="D63" s="47" t="str">
        <x:v>Magnetic bridge</x:v>
      </x:c>
      <x:c r="E63" s="47" t="str">
        <x:v>◎✓</x:v>
      </x:c>
      <x:c r="F63" s="47" t="str">
        <x:v>◉ᛉ</x:v>
      </x:c>
      <x:c r="G63" s="47" t="n">
        <x:v>2.8</x:v>
      </x:c>
      <x:c r="H63" s="47" t="n">
        <x:v>20</x:v>
      </x:c>
      <x:c r="I63" s="47" t="n">
        <x:v>4</x:v>
      </x:c>
      <x:c r="J63" s="47" t="n">
        <x:v>33</x:v>
      </x:c>
      <x:c r="K63" s="47" t="n">
        <x:v>51.8</x:v>
      </x:c>
      <x:c r="L63" s="47" t="str">
        <x:v>REPAIR</x:v>
      </x:c>
      <x:c r="M63" s="47" t="str">
        <x:v>◎✓ + ◉ᛉ + △ + ↺</x:v>
      </x:c>
      <x:c r="N63" s="47" t="str">
        <x:v>He(Closed Gate) with Co(Magnetic bridge): REPAIR in model.</x:v>
      </x:c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 t="str">
        <x:v>He</x:v>
      </x:c>
      <x:c r="B64" s="47" t="str">
        <x:v>Ni</x:v>
      </x:c>
      <x:c r="C64" s="47" t="str">
        <x:v>Closed Gate</x:v>
      </x:c>
      <x:c r="D64" s="47" t="str">
        <x:v>Catalytic guard</x:v>
      </x:c>
      <x:c r="E64" s="47" t="str">
        <x:v>◎✓</x:v>
      </x:c>
      <x:c r="F64" s="47" t="str">
        <x:v>◎↺</x:v>
      </x:c>
      <x:c r="G64" s="47" t="n">
        <x:v>2.8</x:v>
      </x:c>
      <x:c r="H64" s="47" t="n">
        <x:v>20</x:v>
      </x:c>
      <x:c r="I64" s="47" t="n">
        <x:v>3.5</x:v>
      </x:c>
      <x:c r="J64" s="47" t="n">
        <x:v>34</x:v>
      </x:c>
      <x:c r="K64" s="47" t="n">
        <x:v>53.3</x:v>
      </x:c>
      <x:c r="L64" s="47" t="str">
        <x:v>REPAIR</x:v>
      </x:c>
      <x:c r="M64" s="47" t="str">
        <x:v>◎✓ + ◎↺ + △ + ↺</x:v>
      </x:c>
      <x:c r="N64" s="47" t="str">
        <x:v>He(Closed Gate) with Ni(Catalytic guard): REPAIR in model.</x:v>
      </x:c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 t="str">
        <x:v>He</x:v>
      </x:c>
      <x:c r="B65" s="47" t="str">
        <x:v>Cu</x:v>
      </x:c>
      <x:c r="C65" s="47" t="str">
        <x:v>Closed Gate</x:v>
      </x:c>
      <x:c r="D65" s="47" t="str">
        <x:v>Conductor flow</x:v>
      </x:c>
      <x:c r="E65" s="47" t="str">
        <x:v>◎✓</x:v>
      </x:c>
      <x:c r="F65" s="47" t="str">
        <x:v>↺ᛏ</x:v>
      </x:c>
      <x:c r="G65" s="47" t="n">
        <x:v>2.9</x:v>
      </x:c>
      <x:c r="H65" s="47" t="n">
        <x:v>18</x:v>
      </x:c>
      <x:c r="I65" s="47" t="n">
        <x:v>3</x:v>
      </x:c>
      <x:c r="J65" s="47" t="n">
        <x:v>33</x:v>
      </x:c>
      <x:c r="K65" s="47" t="n">
        <x:v>50.9</x:v>
      </x:c>
      <x:c r="L65" s="47" t="str">
        <x:v>REPAIR</x:v>
      </x:c>
      <x:c r="M65" s="47" t="str">
        <x:v>◎✓ + ↺ᛏ + △ + ↺</x:v>
      </x:c>
      <x:c r="N65" s="47" t="str">
        <x:v>He(Closed Gate) with Cu(Conductor flow): REPAIR in model.</x:v>
      </x:c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 t="str">
        <x:v>He</x:v>
      </x:c>
      <x:c r="B66" s="47" t="str">
        <x:v>Zn</x:v>
      </x:c>
      <x:c r="C66" s="47" t="str">
        <x:v>Closed Gate</x:v>
      </x:c>
      <x:c r="D66" s="47" t="str">
        <x:v>Enzyme stabilizer</x:v>
      </x:c>
      <x:c r="E66" s="47" t="str">
        <x:v>◎✓</x:v>
      </x:c>
      <x:c r="F66" s="47" t="str">
        <x:v>◎□</x:v>
      </x:c>
      <x:c r="G66" s="47" t="n">
        <x:v>2.1</x:v>
      </x:c>
      <x:c r="H66" s="47" t="n">
        <x:v>20</x:v>
      </x:c>
      <x:c r="I66" s="47" t="n">
        <x:v>2.5</x:v>
      </x:c>
      <x:c r="J66" s="47" t="n">
        <x:v>36</x:v>
      </x:c>
      <x:c r="K66" s="47" t="n">
        <x:v>55.6</x:v>
      </x:c>
      <x:c r="L66" s="47" t="str">
        <x:v>REPAIR</x:v>
      </x:c>
      <x:c r="M66" s="47" t="str">
        <x:v>◎✓ + ◎□ + △ + ↺</x:v>
      </x:c>
      <x:c r="N66" s="47" t="str">
        <x:v>He(Closed Gate) with Zn(Enzyme stabilizer): REPAIR in model.</x:v>
      </x:c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 t="str">
        <x:v>He</x:v>
      </x:c>
      <x:c r="B67" s="47" t="str">
        <x:v>Ga</x:v>
      </x:c>
      <x:c r="C67" s="47" t="str">
        <x:v>Closed Gate</x:v>
      </x:c>
      <x:c r="D67" s="47" t="str">
        <x:v>Soft form gate</x:v>
      </x:c>
      <x:c r="E67" s="47" t="str">
        <x:v>◎✓</x:v>
      </x:c>
      <x:c r="F67" s="47" t="str">
        <x:v>□↺</x:v>
      </x:c>
      <x:c r="G67" s="47" t="n">
        <x:v>2.1</x:v>
      </x:c>
      <x:c r="H67" s="47" t="n">
        <x:v>17</x:v>
      </x:c>
      <x:c r="I67" s="47" t="n">
        <x:v>3.5</x:v>
      </x:c>
      <x:c r="J67" s="47" t="n">
        <x:v>31</x:v>
      </x:c>
      <x:c r="K67" s="47" t="n">
        <x:v>46.6</x:v>
      </x:c>
      <x:c r="L67" s="47" t="str">
        <x:v>REPAIR</x:v>
      </x:c>
      <x:c r="M67" s="47" t="str">
        <x:v>◎✓ + □↺ + △ + ↺</x:v>
      </x:c>
      <x:c r="N67" s="47" t="str">
        <x:v>He(Closed Gate) with Ga(Soft form gate): REPAIR in model.</x:v>
      </x:c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 t="str">
        <x:v>He</x:v>
      </x:c>
      <x:c r="B68" s="47" t="str">
        <x:v>Ge</x:v>
      </x:c>
      <x:c r="C68" s="47" t="str">
        <x:v>Closed Gate</x:v>
      </x:c>
      <x:c r="D68" s="47" t="str">
        <x:v>Semi lattice</x:v>
      </x:c>
      <x:c r="E68" s="47" t="str">
        <x:v>◎✓</x:v>
      </x:c>
      <x:c r="F68" s="47" t="str">
        <x:v>□◎</x:v>
      </x:c>
      <x:c r="G68" s="47" t="n">
        <x:v>2.1</x:v>
      </x:c>
      <x:c r="H68" s="47" t="n">
        <x:v>20</x:v>
      </x:c>
      <x:c r="I68" s="47" t="n">
        <x:v>3</x:v>
      </x:c>
      <x:c r="J68" s="47" t="n">
        <x:v>33.5</x:v>
      </x:c>
      <x:c r="K68" s="47" t="n">
        <x:v>52.6</x:v>
      </x:c>
      <x:c r="L68" s="47" t="str">
        <x:v>REPAIR</x:v>
      </x:c>
      <x:c r="M68" s="47" t="str">
        <x:v>◎✓ + □◎ + △ + ↺</x:v>
      </x:c>
      <x:c r="N68" s="47" t="str">
        <x:v>He(Closed Gate) with Ge(Semi lattice): REPAIR in model.</x:v>
      </x:c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 t="str">
        <x:v>He</x:v>
      </x:c>
      <x:c r="B69" s="47" t="str">
        <x:v>As</x:v>
      </x:c>
      <x:c r="C69" s="47" t="str">
        <x:v>Closed Gate</x:v>
      </x:c>
      <x:c r="D69" s="47" t="str">
        <x:v>Shadow gate</x:v>
      </x:c>
      <x:c r="E69" s="47" t="str">
        <x:v>◎✓</x:v>
      </x:c>
      <x:c r="F69" s="47" t="str">
        <x:v>∅◎</x:v>
      </x:c>
      <x:c r="G69" s="47" t="n">
        <x:v>2.6</x:v>
      </x:c>
      <x:c r="H69" s="47" t="n">
        <x:v>16</x:v>
      </x:c>
      <x:c r="I69" s="47" t="n">
        <x:v>8</x:v>
      </x:c>
      <x:c r="J69" s="47" t="n">
        <x:v>28.5</x:v>
      </x:c>
      <x:c r="K69" s="47" t="n">
        <x:v>39.1</x:v>
      </x:c>
      <x:c r="L69" s="47" t="str">
        <x:v>HOLD</x:v>
      </x:c>
      <x:c r="M69" s="47" t="str">
        <x:v>◎✓ + ∅◎ + △ + HOLD</x:v>
      </x:c>
      <x:c r="N69" s="47" t="str">
        <x:v>He(Closed Gate) with As(Shadow gate): HOLD in model.</x:v>
      </x:c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 t="str">
        <x:v>He</x:v>
      </x:c>
      <x:c r="B70" s="47" t="str">
        <x:v>Se</x:v>
      </x:c>
      <x:c r="C70" s="47" t="str">
        <x:v>Closed Gate</x:v>
      </x:c>
      <x:c r="D70" s="47" t="str">
        <x:v>Trace healer</x:v>
      </x:c>
      <x:c r="E70" s="47" t="str">
        <x:v>◎✓</x:v>
      </x:c>
      <x:c r="F70" s="47" t="str">
        <x:v>↺◉</x:v>
      </x:c>
      <x:c r="G70" s="47" t="n">
        <x:v>2.8</x:v>
      </x:c>
      <x:c r="H70" s="47" t="n">
        <x:v>16</x:v>
      </x:c>
      <x:c r="I70" s="47" t="n">
        <x:v>4.5</x:v>
      </x:c>
      <x:c r="J70" s="47" t="n">
        <x:v>32</x:v>
      </x:c>
      <x:c r="K70" s="47" t="n">
        <x:v>46.3</x:v>
      </x:c>
      <x:c r="L70" s="47" t="str">
        <x:v>REPAIR</x:v>
      </x:c>
      <x:c r="M70" s="47" t="str">
        <x:v>◎✓ + ↺◉ + △ + ↺</x:v>
      </x:c>
      <x:c r="N70" s="47" t="str">
        <x:v>He(Closed Gate) with Se(Trace healer): REPAIR in model.</x:v>
      </x:c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 t="str">
        <x:v>He</x:v>
      </x:c>
      <x:c r="B71" s="47" t="str">
        <x:v>Br</x:v>
      </x:c>
      <x:c r="C71" s="47" t="str">
        <x:v>Closed Gate</x:v>
      </x:c>
      <x:c r="D71" s="47" t="str">
        <x:v>Heavy receiver</x:v>
      </x:c>
      <x:c r="E71" s="47" t="str">
        <x:v>◎✓</x:v>
      </x:c>
      <x:c r="F71" s="47" t="str">
        <x:v>▽∅</x:v>
      </x:c>
      <x:c r="G71" s="47" t="n">
        <x:v>3.9</x:v>
      </x:c>
      <x:c r="H71" s="47" t="n">
        <x:v>12</x:v>
      </x:c>
      <x:c r="I71" s="47" t="n">
        <x:v>6</x:v>
      </x:c>
      <x:c r="J71" s="47" t="n">
        <x:v>31</x:v>
      </x:c>
      <x:c r="K71" s="47" t="n">
        <x:v>40.9</x:v>
      </x:c>
      <x:c r="L71" s="47" t="str">
        <x:v>HOLD</x:v>
      </x:c>
      <x:c r="M71" s="47" t="str">
        <x:v>◎✓ + ▽∅ + △ + HOLD</x:v>
      </x:c>
      <x:c r="N71" s="47" t="str">
        <x:v>He(Closed Gate) with Br(Heavy receiver): HOLD in model.</x:v>
      </x:c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 t="str">
        <x:v>He</x:v>
      </x:c>
      <x:c r="B72" s="47" t="str">
        <x:v>Kr</x:v>
      </x:c>
      <x:c r="C72" s="47" t="str">
        <x:v>Closed Gate</x:v>
      </x:c>
      <x:c r="D72" s="47" t="str">
        <x:v>Closed Gate light</x:v>
      </x:c>
      <x:c r="E72" s="47" t="str">
        <x:v>◎✓</x:v>
      </x:c>
      <x:c r="F72" s="47" t="str">
        <x:v>◎✓</x:v>
      </x:c>
      <x:c r="G72" s="47" t="n">
        <x:v>0.3</x:v>
      </x:c>
      <x:c r="H72" s="47" t="n">
        <x:v>19</x:v>
      </x:c>
      <x:c r="I72" s="47" t="n">
        <x:v>1</x:v>
      </x:c>
      <x:c r="J72" s="47" t="n">
        <x:v>39</x:v>
      </x:c>
      <x:c r="K72" s="47" t="n">
        <x:v>57.3</x:v>
      </x:c>
      <x:c r="L72" s="47" t="str">
        <x:v>REPAIR</x:v>
      </x:c>
      <x:c r="M72" s="47" t="str">
        <x:v>◎✓ + ◎✓ + △ + ↺</x:v>
      </x:c>
      <x:c r="N72" s="47" t="str">
        <x:v>He(Closed Gate) with Kr(Closed Gate light): REPAIR in model.</x:v>
      </x:c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 t="str">
        <x:v>Li</x:v>
      </x:c>
      <x:c r="B73" s="47" t="str">
        <x:v>Li</x:v>
      </x:c>
      <x:c r="C73" s="47" t="str">
        <x:v>Donor opener</x:v>
      </x:c>
      <x:c r="D73" s="47" t="str">
        <x:v>Donor opener</x:v>
      </x:c>
      <x:c r="E73" s="47" t="str">
        <x:v>△ᛏ</x:v>
      </x:c>
      <x:c r="F73" s="47" t="str">
        <x:v>△ᛏ</x:v>
      </x:c>
      <x:c r="G73" s="47" t="n">
        <x:v>12</x:v>
      </x:c>
      <x:c r="H73" s="47" t="n">
        <x:v>20</x:v>
      </x:c>
      <x:c r="I73" s="47" t="n">
        <x:v>9</x:v>
      </x:c>
      <x:c r="J73" s="47" t="n">
        <x:v>13</x:v>
      </x:c>
      <x:c r="K73" s="47" t="n">
        <x:v>36</x:v>
      </x:c>
      <x:c r="L73" s="47" t="str">
        <x:v>HOLD</x:v>
      </x:c>
      <x:c r="M73" s="47" t="str">
        <x:v>△ᛏ + △ᛏ + △ + HOLD</x:v>
      </x:c>
      <x:c r="N73" s="47" t="str">
        <x:v>Li(Donor opener) with Li(Donor opener): HOLD in model.</x:v>
      </x:c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 t="str">
        <x:v>Li</x:v>
      </x:c>
      <x:c r="B74" s="47" t="str">
        <x:v>Be</x:v>
      </x:c>
      <x:c r="C74" s="47" t="str">
        <x:v>Donor opener</x:v>
      </x:c>
      <x:c r="D74" s="47" t="str">
        <x:v>Structure donor</x:v>
      </x:c>
      <x:c r="E74" s="47" t="str">
        <x:v>△ᛏ</x:v>
      </x:c>
      <x:c r="F74" s="47" t="str">
        <x:v>□△</x:v>
      </x:c>
      <x:c r="G74" s="47" t="n">
        <x:v>12.1</x:v>
      </x:c>
      <x:c r="H74" s="47" t="n">
        <x:v>12</x:v>
      </x:c>
      <x:c r="I74" s="47" t="n">
        <x:v>8</x:v>
      </x:c>
      <x:c r="J74" s="47" t="n">
        <x:v>16.5</x:v>
      </x:c>
      <x:c r="K74" s="47" t="n">
        <x:v>32.6</x:v>
      </x:c>
      <x:c r="L74" s="47" t="str">
        <x:v>HOLD</x:v>
      </x:c>
      <x:c r="M74" s="47" t="str">
        <x:v>△ᛏ + □△ + △ + HOLD</x:v>
      </x:c>
      <x:c r="N74" s="47" t="str">
        <x:v>Li(Donor opener) with Be(Structure donor): HOLD in model.</x:v>
      </x:c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 t="str">
        <x:v>Li</x:v>
      </x:c>
      <x:c r="B75" s="47" t="str">
        <x:v>B</x:v>
      </x:c>
      <x:c r="C75" s="47" t="str">
        <x:v>Donor opener</x:v>
      </x:c>
      <x:c r="D75" s="47" t="str">
        <x:v>Triangle former</x:v>
      </x:c>
      <x:c r="E75" s="47" t="str">
        <x:v>△ᛏ</x:v>
      </x:c>
      <x:c r="F75" s="47" t="str">
        <x:v>△□</x:v>
      </x:c>
      <x:c r="G75" s="47" t="n">
        <x:v>21.8</x:v>
      </x:c>
      <x:c r="H75" s="47" t="n">
        <x:v>10</x:v>
      </x:c>
      <x:c r="I75" s="47" t="n">
        <x:v>7.5</x:v>
      </x:c>
      <x:c r="J75" s="47" t="n">
        <x:v>18</x:v>
      </x:c>
      <x:c r="K75" s="47" t="n">
        <x:v>42.3</x:v>
      </x:c>
      <x:c r="L75" s="47" t="str">
        <x:v>REPAIR</x:v>
      </x:c>
      <x:c r="M75" s="47" t="str">
        <x:v>△ᛏ + △□ + △ + ↺</x:v>
      </x:c>
      <x:c r="N75" s="47" t="str">
        <x:v>Li(Donor opener) with B(Triangle former): REPAIR in model.</x:v>
      </x:c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 t="str">
        <x:v>Li</x:v>
      </x:c>
      <x:c r="B76" s="47" t="str">
        <x:v>C</x:v>
      </x:c>
      <x:c r="C76" s="47" t="str">
        <x:v>Donor opener</x:v>
      </x:c>
      <x:c r="D76" s="47" t="str">
        <x:v>Engineer grammar</x:v>
      </x:c>
      <x:c r="E76" s="47" t="str">
        <x:v>△ᛏ</x:v>
      </x:c>
      <x:c r="F76" s="47" t="str">
        <x:v>□◉</x:v>
      </x:c>
      <x:c r="G76" s="47" t="n">
        <x:v>21.4</x:v>
      </x:c>
      <x:c r="H76" s="47" t="n">
        <x:v>5</x:v>
      </x:c>
      <x:c r="I76" s="47" t="n">
        <x:v>6.5</x:v>
      </x:c>
      <x:c r="J76" s="47" t="n">
        <x:v>21.5</x:v>
      </x:c>
      <x:c r="K76" s="47" t="n">
        <x:v>41.4</x:v>
      </x:c>
      <x:c r="L76" s="47" t="str">
        <x:v>HOLD</x:v>
      </x:c>
      <x:c r="M76" s="47" t="str">
        <x:v>△ᛏ + □◉ + △ + HOLD</x:v>
      </x:c>
      <x:c r="N76" s="47" t="str">
        <x:v>Li(Donor opener) with C(Engineer grammar): HOLD in model.</x:v>
      </x:c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 t="str">
        <x:v>Li</x:v>
      </x:c>
      <x:c r="B77" s="47" t="str">
        <x:v>N</x:v>
      </x:c>
      <x:c r="C77" s="47" t="str">
        <x:v>Donor opener</x:v>
      </x:c>
      <x:c r="D77" s="47" t="str">
        <x:v>Bridge guardian</x:v>
      </x:c>
      <x:c r="E77" s="47" t="str">
        <x:v>△ᛏ</x:v>
      </x:c>
      <x:c r="F77" s="47" t="str">
        <x:v>◎ᛉ</x:v>
      </x:c>
      <x:c r="G77" s="47" t="n">
        <x:v>31.4</x:v>
      </x:c>
      <x:c r="H77" s="47" t="n">
        <x:v>12</x:v>
      </x:c>
      <x:c r="I77" s="47" t="n">
        <x:v>7</x:v>
      </x:c>
      <x:c r="J77" s="47" t="n">
        <x:v>21</x:v>
      </x:c>
      <x:c r="K77" s="47" t="n">
        <x:v>57.4</x:v>
      </x:c>
      <x:c r="L77" s="47" t="str">
        <x:v>REPAIR</x:v>
      </x:c>
      <x:c r="M77" s="47" t="str">
        <x:v>△ᛏ + ◎ᛉ + △ + ↺</x:v>
      </x:c>
      <x:c r="N77" s="47" t="str">
        <x:v>Li(Donor opener) with N(Bridge guardian): REPAIR in model.</x:v>
      </x:c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 t="str">
        <x:v>Li</x:v>
      </x:c>
      <x:c r="B78" s="47" t="str">
        <x:v>O</x:v>
      </x:c>
      <x:c r="C78" s="47" t="str">
        <x:v>Donor opener</x:v>
      </x:c>
      <x:c r="D78" s="47" t="str">
        <x:v>Receiver activator</x:v>
      </x:c>
      <x:c r="E78" s="47" t="str">
        <x:v>△ᛏ</x:v>
      </x:c>
      <x:c r="F78" s="47" t="str">
        <x:v>▽△</x:v>
      </x:c>
      <x:c r="G78" s="47" t="n">
        <x:v>43.2</x:v>
      </x:c>
      <x:c r="H78" s="47" t="n">
        <x:v>16</x:v>
      </x:c>
      <x:c r="I78" s="47" t="n">
        <x:v>8</x:v>
      </x:c>
      <x:c r="J78" s="47" t="n">
        <x:v>19.5</x:v>
      </x:c>
      <x:c r="K78" s="47" t="n">
        <x:v>70.7</x:v>
      </x:c>
      <x:c r="L78" s="47" t="str">
        <x:v>ASK</x:v>
      </x:c>
      <x:c r="M78" s="47" t="str">
        <x:v>△ᛏ + ▽△ + △ + ◎?</x:v>
      </x:c>
      <x:c r="N78" s="47" t="str">
        <x:v>Li(Donor opener) with O(Receiver activator): ASK in model.</x:v>
      </x:c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 t="str">
        <x:v>Li</x:v>
      </x:c>
      <x:c r="B79" s="47" t="str">
        <x:v>F</x:v>
      </x:c>
      <x:c r="C79" s="47" t="str">
        <x:v>Donor opener</x:v>
      </x:c>
      <x:c r="D79" s="47" t="str">
        <x:v>Strong receiver</x:v>
      </x:c>
      <x:c r="E79" s="47" t="str">
        <x:v>△ᛏ</x:v>
      </x:c>
      <x:c r="F79" s="47" t="str">
        <x:v>▽◎</x:v>
      </x:c>
      <x:c r="G79" s="47" t="n">
        <x:v>45.6</x:v>
      </x:c>
      <x:c r="H79" s="47" t="n">
        <x:v>18</x:v>
      </x:c>
      <x:c r="I79" s="47" t="n">
        <x:v>9.5</x:v>
      </x:c>
      <x:c r="J79" s="47" t="n">
        <x:v>19</x:v>
      </x:c>
      <x:c r="K79" s="47" t="n">
        <x:v>73.1</x:v>
      </x:c>
      <x:c r="L79" s="47" t="str">
        <x:v>ASK</x:v>
      </x:c>
      <x:c r="M79" s="47" t="str">
        <x:v>△ᛏ + ▽◎ + △ + ◎?</x:v>
      </x:c>
      <x:c r="N79" s="47" t="str">
        <x:v>Li(Donor opener) with F(Strong receiver): ASK in model.</x:v>
      </x:c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 t="str">
        <x:v>Li</x:v>
      </x:c>
      <x:c r="B80" s="47" t="str">
        <x:v>Ne</x:v>
      </x:c>
      <x:c r="C80" s="47" t="str">
        <x:v>Donor opener</x:v>
      </x:c>
      <x:c r="D80" s="47" t="str">
        <x:v>Closed Gate</x:v>
      </x:c>
      <x:c r="E80" s="47" t="str">
        <x:v>△ᛏ</x:v>
      </x:c>
      <x:c r="F80" s="47" t="str">
        <x:v>◎✓</x:v>
      </x:c>
      <x:c r="G80" s="47" t="n">
        <x:v>2.4</x:v>
      </x:c>
      <x:c r="H80" s="47" t="n">
        <x:v>7</x:v>
      </x:c>
      <x:c r="I80" s="47" t="n">
        <x:v>5</x:v>
      </x:c>
      <x:c r="J80" s="47" t="n">
        <x:v>26</x:v>
      </x:c>
      <x:c r="K80" s="47" t="n">
        <x:v>30.4</x:v>
      </x:c>
      <x:c r="L80" s="47" t="str">
        <x:v>HOLD</x:v>
      </x:c>
      <x:c r="M80" s="47" t="str">
        <x:v>△ᛏ + ◎✓ + △ + HOLD</x:v>
      </x:c>
      <x:c r="N80" s="47" t="str">
        <x:v>Li(Donor opener) with Ne(Closed Gate): HOLD in model.</x:v>
      </x:c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 t="str">
        <x:v>Li</x:v>
      </x:c>
      <x:c r="B81" s="47" t="str">
        <x:v>Na</x:v>
      </x:c>
      <x:c r="C81" s="47" t="str">
        <x:v>Donor opener</x:v>
      </x:c>
      <x:c r="D81" s="47" t="str">
        <x:v>Strong donor</x:v>
      </x:c>
      <x:c r="E81" s="47" t="str">
        <x:v>△ᛏ</x:v>
      </x:c>
      <x:c r="F81" s="47" t="str">
        <x:v>△ᛏ</x:v>
      </x:c>
      <x:c r="G81" s="47" t="n">
        <x:v>10.8</x:v>
      </x:c>
      <x:c r="H81" s="47" t="n">
        <x:v>19</x:v>
      </x:c>
      <x:c r="I81" s="47" t="n">
        <x:v>10</x:v>
      </x:c>
      <x:c r="J81" s="47" t="n">
        <x:v>12.5</x:v>
      </x:c>
      <x:c r="K81" s="47" t="n">
        <x:v>32.3</x:v>
      </x:c>
      <x:c r="L81" s="47" t="str">
        <x:v>HOLD</x:v>
      </x:c>
      <x:c r="M81" s="47" t="str">
        <x:v>△ᛏ + △ᛏ + △ + HOLD</x:v>
      </x:c>
      <x:c r="N81" s="47" t="str">
        <x:v>Li(Donor opener) with Na(Strong donor): HOLD in model.</x:v>
      </x:c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 t="str">
        <x:v>Li</x:v>
      </x:c>
      <x:c r="B82" s="47" t="str">
        <x:v>Mg</x:v>
      </x:c>
      <x:c r="C82" s="47" t="str">
        <x:v>Donor opener</x:v>
      </x:c>
      <x:c r="D82" s="47" t="str">
        <x:v>Structure donor</x:v>
      </x:c>
      <x:c r="E82" s="47" t="str">
        <x:v>△ᛏ</x:v>
      </x:c>
      <x:c r="F82" s="47" t="str">
        <x:v>□△</x:v>
      </x:c>
      <x:c r="G82" s="47" t="n">
        <x:v>12.9</x:v>
      </x:c>
      <x:c r="H82" s="47" t="n">
        <x:v>11</x:v>
      </x:c>
      <x:c r="I82" s="47" t="n">
        <x:v>8</x:v>
      </x:c>
      <x:c r="J82" s="47" t="n">
        <x:v>17</x:v>
      </x:c>
      <x:c r="K82" s="47" t="n">
        <x:v>32.9</x:v>
      </x:c>
      <x:c r="L82" s="47" t="str">
        <x:v>HOLD</x:v>
      </x:c>
      <x:c r="M82" s="47" t="str">
        <x:v>△ᛏ + □△ + △ + HOLD</x:v>
      </x:c>
      <x:c r="N82" s="47" t="str">
        <x:v>Li(Donor opener) with Mg(Structure donor): HOLD in model.</x:v>
      </x:c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 t="str">
        <x:v>Li</x:v>
      </x:c>
      <x:c r="B83" s="47" t="str">
        <x:v>Al</x:v>
      </x:c>
      <x:c r="C83" s="47" t="str">
        <x:v>Donor opener</x:v>
      </x:c>
      <x:c r="D83" s="47" t="str">
        <x:v>Form builder</x:v>
      </x:c>
      <x:c r="E83" s="47" t="str">
        <x:v>△ᛏ</x:v>
      </x:c>
      <x:c r="F83" s="47" t="str">
        <x:v>□◎</x:v>
      </x:c>
      <x:c r="G83" s="47" t="n">
        <x:v>18.1</x:v>
      </x:c>
      <x:c r="H83" s="47" t="n">
        <x:v>9</x:v>
      </x:c>
      <x:c r="I83" s="47" t="n">
        <x:v>7</x:v>
      </x:c>
      <x:c r="J83" s="47" t="n">
        <x:v>19</x:v>
      </x:c>
      <x:c r="K83" s="47" t="n">
        <x:v>39.1</x:v>
      </x:c>
      <x:c r="L83" s="47" t="str">
        <x:v>HOLD</x:v>
      </x:c>
      <x:c r="M83" s="47" t="str">
        <x:v>△ᛏ + □◎ + △ + HOLD</x:v>
      </x:c>
      <x:c r="N83" s="47" t="str">
        <x:v>Li(Donor opener) with Al(Form builder): HOLD in model.</x:v>
      </x:c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 t="str">
        <x:v>Li</x:v>
      </x:c>
      <x:c r="B84" s="47" t="str">
        <x:v>Si</x:v>
      </x:c>
      <x:c r="C84" s="47" t="str">
        <x:v>Donor opener</x:v>
      </x:c>
      <x:c r="D84" s="47" t="str">
        <x:v>Lattice engineer</x:v>
      </x:c>
      <x:c r="E84" s="47" t="str">
        <x:v>△ᛏ</x:v>
      </x:c>
      <x:c r="F84" s="47" t="str">
        <x:v>□◉</x:v>
      </x:c>
      <x:c r="G84" s="47" t="n">
        <x:v>21</x:v>
      </x:c>
      <x:c r="H84" s="47" t="n">
        <x:v>6</x:v>
      </x:c>
      <x:c r="I84" s="47" t="n">
        <x:v>6.5</x:v>
      </x:c>
      <x:c r="J84" s="47" t="n">
        <x:v>21.5</x:v>
      </x:c>
      <x:c r="K84" s="47" t="n">
        <x:v>42</x:v>
      </x:c>
      <x:c r="L84" s="47" t="str">
        <x:v>REPAIR</x:v>
      </x:c>
      <x:c r="M84" s="47" t="str">
        <x:v>△ᛏ + □◉ + △ + ↺</x:v>
      </x:c>
      <x:c r="N84" s="47" t="str">
        <x:v>Li(Donor opener) with Si(Lattice engineer): REPAIR in model.</x:v>
      </x:c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 t="str">
        <x:v>Li</x:v>
      </x:c>
      <x:c r="B85" s="47" t="str">
        <x:v>P</x:v>
      </x:c>
      <x:c r="C85" s="47" t="str">
        <x:v>Donor opener</x:v>
      </x:c>
      <x:c r="D85" s="47" t="str">
        <x:v>Energy memory</x:v>
      </x:c>
      <x:c r="E85" s="47" t="str">
        <x:v>△ᛏ</x:v>
      </x:c>
      <x:c r="F85" s="47" t="str">
        <x:v>◉△</x:v>
      </x:c>
      <x:c r="G85" s="47" t="n">
        <x:v>30.9</x:v>
      </x:c>
      <x:c r="H85" s="47" t="n">
        <x:v>13</x:v>
      </x:c>
      <x:c r="I85" s="47" t="n">
        <x:v>8.5</x:v>
      </x:c>
      <x:c r="J85" s="47" t="n">
        <x:v>19</x:v>
      </x:c>
      <x:c r="K85" s="47" t="n">
        <x:v>54.4</x:v>
      </x:c>
      <x:c r="L85" s="47" t="str">
        <x:v>REPAIR</x:v>
      </x:c>
      <x:c r="M85" s="47" t="str">
        <x:v>△ᛏ + ◉△ + △ + ↺</x:v>
      </x:c>
      <x:c r="N85" s="47" t="str">
        <x:v>Li(Donor opener) with P(Energy memory): REPAIR in model.</x:v>
      </x:c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 t="str">
        <x:v>Li</x:v>
      </x:c>
      <x:c r="B86" s="47" t="str">
        <x:v>S</x:v>
      </x:c>
      <x:c r="C86" s="47" t="str">
        <x:v>Donor opener</x:v>
      </x:c>
      <x:c r="D86" s="47" t="str">
        <x:v>Connector phase</x:v>
      </x:c>
      <x:c r="E86" s="47" t="str">
        <x:v>△ᛏ</x:v>
      </x:c>
      <x:c r="F86" s="47" t="str">
        <x:v>↺▽</x:v>
      </x:c>
      <x:c r="G86" s="47" t="n">
        <x:v>32.1</x:v>
      </x:c>
      <x:c r="H86" s="47" t="n">
        <x:v>12</x:v>
      </x:c>
      <x:c r="I86" s="47" t="n">
        <x:v>8</x:v>
      </x:c>
      <x:c r="J86" s="47" t="n">
        <x:v>18.5</x:v>
      </x:c>
      <x:c r="K86" s="47" t="n">
        <x:v>54.6</x:v>
      </x:c>
      <x:c r="L86" s="47" t="str">
        <x:v>REPAIR</x:v>
      </x:c>
      <x:c r="M86" s="47" t="str">
        <x:v>△ᛏ + ↺▽ + △ + ↺</x:v>
      </x:c>
      <x:c r="N86" s="47" t="str">
        <x:v>Li(Donor opener) with S(Connector phase): REPAIR in model.</x:v>
      </x:c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 t="str">
        <x:v>Li</x:v>
      </x:c>
      <x:c r="B87" s="47" t="str">
        <x:v>Cl</x:v>
      </x:c>
      <x:c r="C87" s="47" t="str">
        <x:v>Donor opener</x:v>
      </x:c>
      <x:c r="D87" s="47" t="str">
        <x:v>Receiver closure</x:v>
      </x:c>
      <x:c r="E87" s="47" t="str">
        <x:v>△ᛏ</x:v>
      </x:c>
      <x:c r="F87" s="47" t="str">
        <x:v>▽◎</x:v>
      </x:c>
      <x:c r="G87" s="47" t="n">
        <x:v>43.2</x:v>
      </x:c>
      <x:c r="H87" s="47" t="n">
        <x:v>17</x:v>
      </x:c>
      <x:c r="I87" s="47" t="n">
        <x:v>9</x:v>
      </x:c>
      <x:c r="J87" s="47" t="n">
        <x:v>19.5</x:v>
      </x:c>
      <x:c r="K87" s="47" t="n">
        <x:v>70.7</x:v>
      </x:c>
      <x:c r="L87" s="47" t="str">
        <x:v>ASK</x:v>
      </x:c>
      <x:c r="M87" s="47" t="str">
        <x:v>△ᛏ + ▽◎ + △ + ◎?</x:v>
      </x:c>
      <x:c r="N87" s="47" t="str">
        <x:v>Li(Donor opener) with Cl(Receiver closure): ASK in model.</x:v>
      </x:c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 t="str">
        <x:v>Li</x:v>
      </x:c>
      <x:c r="B88" s="47" t="str">
        <x:v>Ar</x:v>
      </x:c>
      <x:c r="C88" s="47" t="str">
        <x:v>Donor opener</x:v>
      </x:c>
      <x:c r="D88" s="47" t="str">
        <x:v>Closed Gate</x:v>
      </x:c>
      <x:c r="E88" s="47" t="str">
        <x:v>△ᛏ</x:v>
      </x:c>
      <x:c r="F88" s="47" t="str">
        <x:v>◎✓</x:v>
      </x:c>
      <x:c r="G88" s="47" t="n">
        <x:v>2.4</x:v>
      </x:c>
      <x:c r="H88" s="47" t="n">
        <x:v>7</x:v>
      </x:c>
      <x:c r="I88" s="47" t="n">
        <x:v>5</x:v>
      </x:c>
      <x:c r="J88" s="47" t="n">
        <x:v>26</x:v>
      </x:c>
      <x:c r="K88" s="47" t="n">
        <x:v>30.4</x:v>
      </x:c>
      <x:c r="L88" s="47" t="str">
        <x:v>HOLD</x:v>
      </x:c>
      <x:c r="M88" s="47" t="str">
        <x:v>△ᛏ + ◎✓ + △ + HOLD</x:v>
      </x:c>
      <x:c r="N88" s="47" t="str">
        <x:v>Li(Donor opener) with Ar(Closed Gate): HOLD in model.</x:v>
      </x:c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 t="str">
        <x:v>Li</x:v>
      </x:c>
      <x:c r="B89" s="47" t="str">
        <x:v>K</x:v>
      </x:c>
      <x:c r="C89" s="47" t="str">
        <x:v>Donor opener</x:v>
      </x:c>
      <x:c r="D89" s="47" t="str">
        <x:v>Heavy opener</x:v>
      </x:c>
      <x:c r="E89" s="47" t="str">
        <x:v>△ᛏ</x:v>
      </x:c>
      <x:c r="F89" s="47" t="str">
        <x:v>△ᛏ</x:v>
      </x:c>
      <x:c r="G89" s="47" t="n">
        <x:v>11.1</x:v>
      </x:c>
      <x:c r="H89" s="47" t="n">
        <x:v>19</x:v>
      </x:c>
      <x:c r="I89" s="47" t="n">
        <x:v>11</x:v>
      </x:c>
      <x:c r="J89" s="47" t="n">
        <x:v>11.5</x:v>
      </x:c>
      <x:c r="K89" s="47" t="n">
        <x:v>30.6</x:v>
      </x:c>
      <x:c r="L89" s="47" t="str">
        <x:v>HOLD</x:v>
      </x:c>
      <x:c r="M89" s="47" t="str">
        <x:v>△ᛏ + △ᛏ + △ + HOLD</x:v>
      </x:c>
      <x:c r="N89" s="47" t="str">
        <x:v>Li(Donor opener) with K(Heavy opener): HOLD in model.</x:v>
      </x:c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 t="str">
        <x:v>Li</x:v>
      </x:c>
      <x:c r="B90" s="47" t="str">
        <x:v>Ca</x:v>
      </x:c>
      <x:c r="C90" s="47" t="str">
        <x:v>Donor opener</x:v>
      </x:c>
      <x:c r="D90" s="47" t="str">
        <x:v>Tank structure</x:v>
      </x:c>
      <x:c r="E90" s="47" t="str">
        <x:v>△ᛏ</x:v>
      </x:c>
      <x:c r="F90" s="47" t="str">
        <x:v>ᛉ□</x:v>
      </x:c>
      <x:c r="G90" s="47" t="n">
        <x:v>14.5</x:v>
      </x:c>
      <x:c r="H90" s="47" t="n">
        <x:v>9</x:v>
      </x:c>
      <x:c r="I90" s="47" t="n">
        <x:v>7.5</x:v>
      </x:c>
      <x:c r="J90" s="47" t="n">
        <x:v>19</x:v>
      </x:c>
      <x:c r="K90" s="47" t="n">
        <x:v>35</x:v>
      </x:c>
      <x:c r="L90" s="47" t="str">
        <x:v>HOLD</x:v>
      </x:c>
      <x:c r="M90" s="47" t="str">
        <x:v>△ᛏ + ᛉ□ + △ + HOLD</x:v>
      </x:c>
      <x:c r="N90" s="47" t="str">
        <x:v>Li(Donor opener) with Ca(Tank structure): HOLD in model.</x:v>
      </x:c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 t="str">
        <x:v>Li</x:v>
      </x:c>
      <x:c r="B91" s="47" t="str">
        <x:v>Sc</x:v>
      </x:c>
      <x:c r="C91" s="47" t="str">
        <x:v>Donor opener</x:v>
      </x:c>
      <x:c r="D91" s="47" t="str">
        <x:v>Transition bridge</x:v>
      </x:c>
      <x:c r="E91" s="47" t="str">
        <x:v>△ᛏ</x:v>
      </x:c>
      <x:c r="F91" s="47" t="str">
        <x:v>↺□</x:v>
      </x:c>
      <x:c r="G91" s="47" t="n">
        <x:v>18.1</x:v>
      </x:c>
      <x:c r="H91" s="47" t="n">
        <x:v>10</x:v>
      </x:c>
      <x:c r="I91" s="47" t="n">
        <x:v>7.5</x:v>
      </x:c>
      <x:c r="J91" s="47" t="n">
        <x:v>18.5</x:v>
      </x:c>
      <x:c r="K91" s="47" t="n">
        <x:v>39.1</x:v>
      </x:c>
      <x:c r="L91" s="47" t="str">
        <x:v>HOLD</x:v>
      </x:c>
      <x:c r="M91" s="47" t="str">
        <x:v>△ᛏ + ↺□ + △ + HOLD</x:v>
      </x:c>
      <x:c r="N91" s="47" t="str">
        <x:v>Li(Donor opener) with Sc(Transition bridge): HOLD in model.</x:v>
      </x:c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 t="str">
        <x:v>Li</x:v>
      </x:c>
      <x:c r="B92" s="47" t="str">
        <x:v>Ti</x:v>
      </x:c>
      <x:c r="C92" s="47" t="str">
        <x:v>Donor opener</x:v>
      </x:c>
      <x:c r="D92" s="47" t="str">
        <x:v>Strong structure</x:v>
      </x:c>
      <x:c r="E92" s="47" t="str">
        <x:v>△ᛏ</x:v>
      </x:c>
      <x:c r="F92" s="47" t="str">
        <x:v>ᛉ□</x:v>
      </x:c>
      <x:c r="G92" s="47" t="n">
        <x:v>18.1</x:v>
      </x:c>
      <x:c r="H92" s="47" t="n">
        <x:v>7</x:v>
      </x:c>
      <x:c r="I92" s="47" t="n">
        <x:v>6.5</x:v>
      </x:c>
      <x:c r="J92" s="47" t="n">
        <x:v>21.5</x:v>
      </x:c>
      <x:c r="K92" s="47" t="n">
        <x:v>40.1</x:v>
      </x:c>
      <x:c r="L92" s="47" t="str">
        <x:v>HOLD</x:v>
      </x:c>
      <x:c r="M92" s="47" t="str">
        <x:v>△ᛏ + ᛉ□ + △ + HOLD</x:v>
      </x:c>
      <x:c r="N92" s="47" t="str">
        <x:v>Li(Donor opener) with Ti(Strong structure): HOLD in model.</x:v>
      </x:c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 t="str">
        <x:v>Li</x:v>
      </x:c>
      <x:c r="B93" s="47" t="str">
        <x:v>V</x:v>
      </x:c>
      <x:c r="C93" s="47" t="str">
        <x:v>Donor opener</x:v>
      </x:c>
      <x:c r="D93" s="47" t="str">
        <x:v>Multi-state gate</x:v>
      </x:c>
      <x:c r="E93" s="47" t="str">
        <x:v>△ᛏ</x:v>
      </x:c>
      <x:c r="F93" s="47" t="str">
        <x:v>◎↺</x:v>
      </x:c>
      <x:c r="G93" s="47" t="n">
        <x:v>22.9</x:v>
      </x:c>
      <x:c r="H93" s="47" t="n">
        <x:v>10</x:v>
      </x:c>
      <x:c r="I93" s="47" t="n">
        <x:v>9</x:v>
      </x:c>
      <x:c r="J93" s="47" t="n">
        <x:v>19</x:v>
      </x:c>
      <x:c r="K93" s="47" t="n">
        <x:v>42.9</x:v>
      </x:c>
      <x:c r="L93" s="47" t="str">
        <x:v>REPAIR</x:v>
      </x:c>
      <x:c r="M93" s="47" t="str">
        <x:v>△ᛏ + ◎↺ + △ + ↺</x:v>
      </x:c>
      <x:c r="N93" s="47" t="str">
        <x:v>Li(Donor opener) with V(Multi-state gate): REPAIR in model.</x:v>
      </x:c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 t="str">
        <x:v>Li</x:v>
      </x:c>
      <x:c r="B94" s="47" t="str">
        <x:v>Cr</x:v>
      </x:c>
      <x:c r="C94" s="47" t="str">
        <x:v>Donor opener</x:v>
      </x:c>
      <x:c r="D94" s="47" t="str">
        <x:v>Surface guardian</x:v>
      </x:c>
      <x:c r="E94" s="47" t="str">
        <x:v>△ᛏ</x:v>
      </x:c>
      <x:c r="F94" s="47" t="str">
        <x:v>ᛉ◎</x:v>
      </x:c>
      <x:c r="G94" s="47" t="n">
        <x:v>22.5</x:v>
      </x:c>
      <x:c r="H94" s="47" t="n">
        <x:v>8</x:v>
      </x:c>
      <x:c r="I94" s="47" t="n">
        <x:v>8</x:v>
      </x:c>
      <x:c r="J94" s="47" t="n">
        <x:v>21.5</x:v>
      </x:c>
      <x:c r="K94" s="47" t="n">
        <x:v>44</x:v>
      </x:c>
      <x:c r="L94" s="47" t="str">
        <x:v>REPAIR</x:v>
      </x:c>
      <x:c r="M94" s="47" t="str">
        <x:v>△ᛏ + ᛉ◎ + △ + ↺</x:v>
      </x:c>
      <x:c r="N94" s="47" t="str">
        <x:v>Li(Donor opener) with Cr(Surface guardian): REPAIR in model.</x:v>
      </x:c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 t="str">
        <x:v>Li</x:v>
      </x:c>
      <x:c r="B95" s="47" t="str">
        <x:v>Mn</x:v>
      </x:c>
      <x:c r="C95" s="47" t="str">
        <x:v>Donor opener</x:v>
      </x:c>
      <x:c r="D95" s="47" t="str">
        <x:v>Redox archer</x:v>
      </x:c>
      <x:c r="E95" s="47" t="str">
        <x:v>△ᛏ</x:v>
      </x:c>
      <x:c r="F95" s="47" t="str">
        <x:v>ᛏ↺</x:v>
      </x:c>
      <x:c r="G95" s="47" t="n">
        <x:v>27.6</x:v>
      </x:c>
      <x:c r="H95" s="47" t="n">
        <x:v>12</x:v>
      </x:c>
      <x:c r="I95" s="47" t="n">
        <x:v>10</x:v>
      </x:c>
      <x:c r="J95" s="47" t="n">
        <x:v>17.5</x:v>
      </x:c>
      <x:c r="K95" s="47" t="n">
        <x:v>47.1</x:v>
      </x:c>
      <x:c r="L95" s="47" t="str">
        <x:v>REPAIR</x:v>
      </x:c>
      <x:c r="M95" s="47" t="str">
        <x:v>△ᛏ + ᛏ↺ + △ + ↺</x:v>
      </x:c>
      <x:c r="N95" s="47" t="str">
        <x:v>Li(Donor opener) with Mn(Redox archer): REPAIR in model.</x:v>
      </x:c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 t="str">
        <x:v>Li</x:v>
      </x:c>
      <x:c r="B96" s="47" t="str">
        <x:v>Fe</x:v>
      </x:c>
      <x:c r="C96" s="47" t="str">
        <x:v>Donor opener</x:v>
      </x:c>
      <x:c r="D96" s="47" t="str">
        <x:v>Tank memory</x:v>
      </x:c>
      <x:c r="E96" s="47" t="str">
        <x:v>△ᛏ</x:v>
      </x:c>
      <x:c r="F96" s="47" t="str">
        <x:v>ᛉ◉</x:v>
      </x:c>
      <x:c r="G96" s="47" t="n">
        <x:v>26.9</x:v>
      </x:c>
      <x:c r="H96" s="47" t="n">
        <x:v>7</x:v>
      </x:c>
      <x:c r="I96" s="47" t="n">
        <x:v>8</x:v>
      </x:c>
      <x:c r="J96" s="47" t="n">
        <x:v>20.5</x:v>
      </x:c>
      <x:c r="K96" s="47" t="n">
        <x:v>46.4</x:v>
      </x:c>
      <x:c r="L96" s="47" t="str">
        <x:v>REPAIR</x:v>
      </x:c>
      <x:c r="M96" s="47" t="str">
        <x:v>△ᛏ + ᛉ◉ + △ + ↺</x:v>
      </x:c>
      <x:c r="N96" s="47" t="str">
        <x:v>Li(Donor opener) with Fe(Tank memory): REPAIR in model.</x:v>
      </x:c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 t="str">
        <x:v>Li</x:v>
      </x:c>
      <x:c r="B97" s="47" t="str">
        <x:v>Co</x:v>
      </x:c>
      <x:c r="C97" s="47" t="str">
        <x:v>Donor opener</x:v>
      </x:c>
      <x:c r="D97" s="47" t="str">
        <x:v>Magnetic bridge</x:v>
      </x:c>
      <x:c r="E97" s="47" t="str">
        <x:v>△ᛏ</x:v>
      </x:c>
      <x:c r="F97" s="47" t="str">
        <x:v>◉ᛉ</x:v>
      </x:c>
      <x:c r="G97" s="47" t="n">
        <x:v>24.5</x:v>
      </x:c>
      <x:c r="H97" s="47" t="n">
        <x:v>8</x:v>
      </x:c>
      <x:c r="I97" s="47" t="n">
        <x:v>8</x:v>
      </x:c>
      <x:c r="J97" s="47" t="n">
        <x:v>20</x:v>
      </x:c>
      <x:c r="K97" s="47" t="n">
        <x:v>44.5</x:v>
      </x:c>
      <x:c r="L97" s="47" t="str">
        <x:v>REPAIR</x:v>
      </x:c>
      <x:c r="M97" s="47" t="str">
        <x:v>△ᛏ + ◉ᛉ + △ + ↺</x:v>
      </x:c>
      <x:c r="N97" s="47" t="str">
        <x:v>Li(Donor opener) with Co(Magnetic bridge): REPAIR in model.</x:v>
      </x:c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 t="str">
        <x:v>Li</x:v>
      </x:c>
      <x:c r="B98" s="47" t="str">
        <x:v>Ni</x:v>
      </x:c>
      <x:c r="C98" s="47" t="str">
        <x:v>Donor opener</x:v>
      </x:c>
      <x:c r="D98" s="47" t="str">
        <x:v>Catalytic guard</x:v>
      </x:c>
      <x:c r="E98" s="47" t="str">
        <x:v>△ᛏ</x:v>
      </x:c>
      <x:c r="F98" s="47" t="str">
        <x:v>◎↺</x:v>
      </x:c>
      <x:c r="G98" s="47" t="n">
        <x:v>26.1</x:v>
      </x:c>
      <x:c r="H98" s="47" t="n">
        <x:v>8</x:v>
      </x:c>
      <x:c r="I98" s="47" t="n">
        <x:v>7.5</x:v>
      </x:c>
      <x:c r="J98" s="47" t="n">
        <x:v>21</x:v>
      </x:c>
      <x:c r="K98" s="47" t="n">
        <x:v>47.6</x:v>
      </x:c>
      <x:c r="L98" s="47" t="str">
        <x:v>REPAIR</x:v>
      </x:c>
      <x:c r="M98" s="47" t="str">
        <x:v>△ᛏ + ◎↺ + △ + ↺</x:v>
      </x:c>
      <x:c r="N98" s="47" t="str">
        <x:v>Li(Donor opener) with Ni(Catalytic guard): REPAIR in model.</x:v>
      </x:c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 t="str">
        <x:v>Li</x:v>
      </x:c>
      <x:c r="B99" s="47" t="str">
        <x:v>Cu</x:v>
      </x:c>
      <x:c r="C99" s="47" t="str">
        <x:v>Donor opener</x:v>
      </x:c>
      <x:c r="D99" s="47" t="str">
        <x:v>Conductor flow</x:v>
      </x:c>
      <x:c r="E99" s="47" t="str">
        <x:v>△ᛏ</x:v>
      </x:c>
      <x:c r="F99" s="47" t="str">
        <x:v>↺ᛏ</x:v>
      </x:c>
      <x:c r="G99" s="47" t="n">
        <x:v>26.5</x:v>
      </x:c>
      <x:c r="H99" s="47" t="n">
        <x:v>10</x:v>
      </x:c>
      <x:c r="I99" s="47" t="n">
        <x:v>7</x:v>
      </x:c>
      <x:c r="J99" s="47" t="n">
        <x:v>20</x:v>
      </x:c>
      <x:c r="K99" s="47" t="n">
        <x:v>49.5</x:v>
      </x:c>
      <x:c r="L99" s="47" t="str">
        <x:v>REPAIR</x:v>
      </x:c>
      <x:c r="M99" s="47" t="str">
        <x:v>△ᛏ + ↺ᛏ + △ + ↺</x:v>
      </x:c>
      <x:c r="N99" s="47" t="str">
        <x:v>Li(Donor opener) with Cu(Conductor flow): REPAIR in model.</x:v>
      </x:c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 t="str">
        <x:v>Li</x:v>
      </x:c>
      <x:c r="B100" s="47" t="str">
        <x:v>Zn</x:v>
      </x:c>
      <x:c r="C100" s="47" t="str">
        <x:v>Donor opener</x:v>
      </x:c>
      <x:c r="D100" s="47" t="str">
        <x:v>Enzyme stabilizer</x:v>
      </x:c>
      <x:c r="E100" s="47" t="str">
        <x:v>△ᛏ</x:v>
      </x:c>
      <x:c r="F100" s="47" t="str">
        <x:v>◎□</x:v>
      </x:c>
      <x:c r="G100" s="47" t="n">
        <x:v>21</x:v>
      </x:c>
      <x:c r="H100" s="47" t="n">
        <x:v>8</x:v>
      </x:c>
      <x:c r="I100" s="47" t="n">
        <x:v>6.5</x:v>
      </x:c>
      <x:c r="J100" s="47" t="n">
        <x:v>23</x:v>
      </x:c>
      <x:c r="K100" s="47" t="n">
        <x:v>45.5</x:v>
      </x:c>
      <x:c r="L100" s="47" t="str">
        <x:v>REPAIR</x:v>
      </x:c>
      <x:c r="M100" s="47" t="str">
        <x:v>△ᛏ + ◎□ + △ + ↺</x:v>
      </x:c>
      <x:c r="N100" s="47" t="str">
        <x:v>Li(Donor opener) with Zn(Enzyme stabilizer): REPAIR in model.</x:v>
      </x:c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 t="str">
        <x:v>Li</x:v>
      </x:c>
      <x:c r="B101" s="47" t="str">
        <x:v>Ga</x:v>
      </x:c>
      <x:c r="C101" s="47" t="str">
        <x:v>Donor opener</x:v>
      </x:c>
      <x:c r="D101" s="47" t="str">
        <x:v>Soft form gate</x:v>
      </x:c>
      <x:c r="E101" s="47" t="str">
        <x:v>△ᛏ</x:v>
      </x:c>
      <x:c r="F101" s="47" t="str">
        <x:v>□↺</x:v>
      </x:c>
      <x:c r="G101" s="47" t="n">
        <x:v>19.4</x:v>
      </x:c>
      <x:c r="H101" s="47" t="n">
        <x:v>11</x:v>
      </x:c>
      <x:c r="I101" s="47" t="n">
        <x:v>7.5</x:v>
      </x:c>
      <x:c r="J101" s="47" t="n">
        <x:v>18</x:v>
      </x:c>
      <x:c r="K101" s="47" t="n">
        <x:v>40.9</x:v>
      </x:c>
      <x:c r="L101" s="47" t="str">
        <x:v>HOLD</x:v>
      </x:c>
      <x:c r="M101" s="47" t="str">
        <x:v>△ᛏ + □↺ + △ + HOLD</x:v>
      </x:c>
      <x:c r="N101" s="47" t="str">
        <x:v>Li(Donor opener) with Ga(Soft form gate): HOLD in model.</x:v>
      </x:c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 t="str">
        <x:v>Li</x:v>
      </x:c>
      <x:c r="B102" s="47" t="str">
        <x:v>Ge</x:v>
      </x:c>
      <x:c r="C102" s="47" t="str">
        <x:v>Donor opener</x:v>
      </x:c>
      <x:c r="D102" s="47" t="str">
        <x:v>Semi lattice</x:v>
      </x:c>
      <x:c r="E102" s="47" t="str">
        <x:v>△ᛏ</x:v>
      </x:c>
      <x:c r="F102" s="47" t="str">
        <x:v>□◎</x:v>
      </x:c>
      <x:c r="G102" s="47" t="n">
        <x:v>21</x:v>
      </x:c>
      <x:c r="H102" s="47" t="n">
        <x:v>8</x:v>
      </x:c>
      <x:c r="I102" s="47" t="n">
        <x:v>7</x:v>
      </x:c>
      <x:c r="J102" s="47" t="n">
        <x:v>20.5</x:v>
      </x:c>
      <x:c r="K102" s="47" t="n">
        <x:v>42.5</x:v>
      </x:c>
      <x:c r="L102" s="47" t="str">
        <x:v>REPAIR</x:v>
      </x:c>
      <x:c r="M102" s="47" t="str">
        <x:v>△ᛏ + □◎ + △ + ↺</x:v>
      </x:c>
      <x:c r="N102" s="47" t="str">
        <x:v>Li(Donor opener) with Ge(Semi lattice): REPAIR in model.</x:v>
      </x:c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 t="str">
        <x:v>Li</x:v>
      </x:c>
      <x:c r="B103" s="47" t="str">
        <x:v>As</x:v>
      </x:c>
      <x:c r="C103" s="47" t="str">
        <x:v>Donor opener</x:v>
      </x:c>
      <x:c r="D103" s="47" t="str">
        <x:v>Shadow gate</x:v>
      </x:c>
      <x:c r="E103" s="47" t="str">
        <x:v>△ᛏ</x:v>
      </x:c>
      <x:c r="F103" s="47" t="str">
        <x:v>∅◎</x:v>
      </x:c>
      <x:c r="G103" s="47" t="n">
        <x:v>25.8</x:v>
      </x:c>
      <x:c r="H103" s="47" t="n">
        <x:v>12</x:v>
      </x:c>
      <x:c r="I103" s="47" t="n">
        <x:v>12</x:v>
      </x:c>
      <x:c r="J103" s="47" t="n">
        <x:v>15.5</x:v>
      </x:c>
      <x:c r="K103" s="47" t="n">
        <x:v>41.3</x:v>
      </x:c>
      <x:c r="L103" s="47" t="str">
        <x:v>HOLD</x:v>
      </x:c>
      <x:c r="M103" s="47" t="str">
        <x:v>△ᛏ + ∅◎ + △ + HOLD</x:v>
      </x:c>
      <x:c r="N103" s="47" t="str">
        <x:v>Li(Donor opener) with As(Shadow gate): HOLD in model.</x:v>
      </x:c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 t="str">
        <x:v>Li</x:v>
      </x:c>
      <x:c r="B104" s="47" t="str">
        <x:v>Se</x:v>
      </x:c>
      <x:c r="C104" s="47" t="str">
        <x:v>Donor opener</x:v>
      </x:c>
      <x:c r="D104" s="47" t="str">
        <x:v>Trace healer</x:v>
      </x:c>
      <x:c r="E104" s="47" t="str">
        <x:v>△ᛏ</x:v>
      </x:c>
      <x:c r="F104" s="47" t="str">
        <x:v>↺◉</x:v>
      </x:c>
      <x:c r="G104" s="47" t="n">
        <x:v>29.4</x:v>
      </x:c>
      <x:c r="H104" s="47" t="n">
        <x:v>12</x:v>
      </x:c>
      <x:c r="I104" s="47" t="n">
        <x:v>8.5</x:v>
      </x:c>
      <x:c r="J104" s="47" t="n">
        <x:v>19</x:v>
      </x:c>
      <x:c r="K104" s="47" t="n">
        <x:v>51.9</x:v>
      </x:c>
      <x:c r="L104" s="47" t="str">
        <x:v>REPAIR</x:v>
      </x:c>
      <x:c r="M104" s="47" t="str">
        <x:v>△ᛏ + ↺◉ + △ + ↺</x:v>
      </x:c>
      <x:c r="N104" s="47" t="str">
        <x:v>Li(Donor opener) with Se(Trace healer): REPAIR in model.</x:v>
      </x:c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 t="str">
        <x:v>Li</x:v>
      </x:c>
      <x:c r="B105" s="47" t="str">
        <x:v>Br</x:v>
      </x:c>
      <x:c r="C105" s="47" t="str">
        <x:v>Donor opener</x:v>
      </x:c>
      <x:c r="D105" s="47" t="str">
        <x:v>Heavy receiver</x:v>
      </x:c>
      <x:c r="E105" s="47" t="str">
        <x:v>△ᛏ</x:v>
      </x:c>
      <x:c r="F105" s="47" t="str">
        <x:v>▽∅</x:v>
      </x:c>
      <x:c r="G105" s="47" t="n">
        <x:v>40.9</x:v>
      </x:c>
      <x:c r="H105" s="47" t="n">
        <x:v>16</x:v>
      </x:c>
      <x:c r="I105" s="47" t="n">
        <x:v>10</x:v>
      </x:c>
      <x:c r="J105" s="47" t="n">
        <x:v>18</x:v>
      </x:c>
      <x:c r="K105" s="47" t="n">
        <x:v>64.9</x:v>
      </x:c>
      <x:c r="L105" s="47" t="str">
        <x:v>ASK</x:v>
      </x:c>
      <x:c r="M105" s="47" t="str">
        <x:v>△ᛏ + ▽∅ + △ + ◎?</x:v>
      </x:c>
      <x:c r="N105" s="47" t="str">
        <x:v>Li(Donor opener) with Br(Heavy receiver): ASK in model.</x:v>
      </x:c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 t="str">
        <x:v>Li</x:v>
      </x:c>
      <x:c r="B106" s="47" t="str">
        <x:v>Kr</x:v>
      </x:c>
      <x:c r="C106" s="47" t="str">
        <x:v>Donor opener</x:v>
      </x:c>
      <x:c r="D106" s="47" t="str">
        <x:v>Closed Gate light</x:v>
      </x:c>
      <x:c r="E106" s="47" t="str">
        <x:v>△ᛏ</x:v>
      </x:c>
      <x:c r="F106" s="47" t="str">
        <x:v>◎✓</x:v>
      </x:c>
      <x:c r="G106" s="47" t="n">
        <x:v>2.4</x:v>
      </x:c>
      <x:c r="H106" s="47" t="n">
        <x:v>7</x:v>
      </x:c>
      <x:c r="I106" s="47" t="n">
        <x:v>5</x:v>
      </x:c>
      <x:c r="J106" s="47" t="n">
        <x:v>26</x:v>
      </x:c>
      <x:c r="K106" s="47" t="n">
        <x:v>30.4</x:v>
      </x:c>
      <x:c r="L106" s="47" t="str">
        <x:v>HOLD</x:v>
      </x:c>
      <x:c r="M106" s="47" t="str">
        <x:v>△ᛏ + ◎✓ + △ + HOLD</x:v>
      </x:c>
      <x:c r="N106" s="47" t="str">
        <x:v>Li(Donor opener) with Kr(Closed Gate light): HOLD in model.</x:v>
      </x:c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 t="str">
        <x:v>Be</x:v>
      </x:c>
      <x:c r="B107" s="47" t="str">
        <x:v>Be</x:v>
      </x:c>
      <x:c r="C107" s="47" t="str">
        <x:v>Structure donor</x:v>
      </x:c>
      <x:c r="D107" s="47" t="str">
        <x:v>Structure donor</x:v>
      </x:c>
      <x:c r="E107" s="47" t="str">
        <x:v>□△</x:v>
      </x:c>
      <x:c r="F107" s="47" t="str">
        <x:v>□△</x:v>
      </x:c>
      <x:c r="G107" s="47" t="n">
        <x:v>11</x:v>
      </x:c>
      <x:c r="H107" s="47" t="n">
        <x:v>20</x:v>
      </x:c>
      <x:c r="I107" s="47" t="n">
        <x:v>7</x:v>
      </x:c>
      <x:c r="J107" s="47" t="n">
        <x:v>20</x:v>
      </x:c>
      <x:c r="K107" s="47" t="n">
        <x:v>44</x:v>
      </x:c>
      <x:c r="L107" s="47" t="str">
        <x:v>REPAIR</x:v>
      </x:c>
      <x:c r="M107" s="47" t="str">
        <x:v>□△ + □△ + △ + ↺</x:v>
      </x:c>
      <x:c r="N107" s="47" t="str">
        <x:v>Be(Structure donor) with Be(Structure donor): REPAIR in model.</x:v>
      </x:c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 t="str">
        <x:v>Be</x:v>
      </x:c>
      <x:c r="B108" s="47" t="str">
        <x:v>B</x:v>
      </x:c>
      <x:c r="C108" s="47" t="str">
        <x:v>Structure donor</x:v>
      </x:c>
      <x:c r="D108" s="47" t="str">
        <x:v>Triangle former</x:v>
      </x:c>
      <x:c r="E108" s="47" t="str">
        <x:v>□△</x:v>
      </x:c>
      <x:c r="F108" s="47" t="str">
        <x:v>△□</x:v>
      </x:c>
      <x:c r="G108" s="47" t="n">
        <x:v>17.4</x:v>
      </x:c>
      <x:c r="H108" s="47" t="n">
        <x:v>18</x:v>
      </x:c>
      <x:c r="I108" s="47" t="n">
        <x:v>6.5</x:v>
      </x:c>
      <x:c r="J108" s="47" t="n">
        <x:v>21.5</x:v>
      </x:c>
      <x:c r="K108" s="47" t="n">
        <x:v>50.4</x:v>
      </x:c>
      <x:c r="L108" s="47" t="str">
        <x:v>REPAIR</x:v>
      </x:c>
      <x:c r="M108" s="47" t="str">
        <x:v>□△ + △□ + △ + ↺</x:v>
      </x:c>
      <x:c r="N108" s="47" t="str">
        <x:v>Be(Structure donor) with B(Triangle former): REPAIR in model.</x:v>
      </x:c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 t="str">
        <x:v>Be</x:v>
      </x:c>
      <x:c r="B109" s="47" t="str">
        <x:v>C</x:v>
      </x:c>
      <x:c r="C109" s="47" t="str">
        <x:v>Structure donor</x:v>
      </x:c>
      <x:c r="D109" s="47" t="str">
        <x:v>Engineer grammar</x:v>
      </x:c>
      <x:c r="E109" s="47" t="str">
        <x:v>□△</x:v>
      </x:c>
      <x:c r="F109" s="47" t="str">
        <x:v>□◉</x:v>
      </x:c>
      <x:c r="G109" s="47" t="n">
        <x:v>16.9</x:v>
      </x:c>
      <x:c r="H109" s="47" t="n">
        <x:v>13</x:v>
      </x:c>
      <x:c r="I109" s="47" t="n">
        <x:v>5.5</x:v>
      </x:c>
      <x:c r="J109" s="47" t="n">
        <x:v>25</x:v>
      </x:c>
      <x:c r="K109" s="47" t="n">
        <x:v>49.4</x:v>
      </x:c>
      <x:c r="L109" s="47" t="str">
        <x:v>REPAIR</x:v>
      </x:c>
      <x:c r="M109" s="47" t="str">
        <x:v>□△ + □◉ + △ + ↺</x:v>
      </x:c>
      <x:c r="N109" s="47" t="str">
        <x:v>Be(Structure donor) with C(Engineer grammar): REPAIR in model.</x:v>
      </x:c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 t="str">
        <x:v>Be</x:v>
      </x:c>
      <x:c r="B110" s="47" t="str">
        <x:v>N</x:v>
      </x:c>
      <x:c r="C110" s="47" t="str">
        <x:v>Structure donor</x:v>
      </x:c>
      <x:c r="D110" s="47" t="str">
        <x:v>Bridge guardian</x:v>
      </x:c>
      <x:c r="E110" s="47" t="str">
        <x:v>□△</x:v>
      </x:c>
      <x:c r="F110" s="47" t="str">
        <x:v>◎ᛉ</x:v>
      </x:c>
      <x:c r="G110" s="47" t="n">
        <x:v>23.8</x:v>
      </x:c>
      <x:c r="H110" s="47" t="n">
        <x:v>20</x:v>
      </x:c>
      <x:c r="I110" s="47" t="n">
        <x:v>6</x:v>
      </x:c>
      <x:c r="J110" s="47" t="n">
        <x:v>24.5</x:v>
      </x:c>
      <x:c r="K110" s="47" t="n">
        <x:v>62.3</x:v>
      </x:c>
      <x:c r="L110" s="47" t="str">
        <x:v>ASK</x:v>
      </x:c>
      <x:c r="M110" s="47" t="str">
        <x:v>□△ + ◎ᛉ + △ + ◎?</x:v>
      </x:c>
      <x:c r="N110" s="47" t="str">
        <x:v>Be(Structure donor) with N(Bridge guardian): ASK in model.</x:v>
      </x:c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 t="str">
        <x:v>Be</x:v>
      </x:c>
      <x:c r="B111" s="47" t="str">
        <x:v>O</x:v>
      </x:c>
      <x:c r="C111" s="47" t="str">
        <x:v>Structure donor</x:v>
      </x:c>
      <x:c r="D111" s="47" t="str">
        <x:v>Receiver activator</x:v>
      </x:c>
      <x:c r="E111" s="47" t="str">
        <x:v>□△</x:v>
      </x:c>
      <x:c r="F111" s="47" t="str">
        <x:v>▽△</x:v>
      </x:c>
      <x:c r="G111" s="47" t="n">
        <x:v>33.1</x:v>
      </x:c>
      <x:c r="H111" s="47" t="n">
        <x:v>16</x:v>
      </x:c>
      <x:c r="I111" s="47" t="n">
        <x:v>7</x:v>
      </x:c>
      <x:c r="J111" s="47" t="n">
        <x:v>23</x:v>
      </x:c>
      <x:c r="K111" s="47" t="n">
        <x:v>65.1</x:v>
      </x:c>
      <x:c r="L111" s="47" t="str">
        <x:v>ASK</x:v>
      </x:c>
      <x:c r="M111" s="47" t="str">
        <x:v>□△ + ▽△ + △ + ◎?</x:v>
      </x:c>
      <x:c r="N111" s="47" t="str">
        <x:v>Be(Structure donor) with O(Receiver activator): ASK in model.</x:v>
      </x:c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 t="str">
        <x:v>Be</x:v>
      </x:c>
      <x:c r="B112" s="47" t="str">
        <x:v>F</x:v>
      </x:c>
      <x:c r="C112" s="47" t="str">
        <x:v>Structure donor</x:v>
      </x:c>
      <x:c r="D112" s="47" t="str">
        <x:v>Strong receiver</x:v>
      </x:c>
      <x:c r="E112" s="47" t="str">
        <x:v>□△</x:v>
      </x:c>
      <x:c r="F112" s="47" t="str">
        <x:v>▽◎</x:v>
      </x:c>
      <x:c r="G112" s="47" t="n">
        <x:v>35</x:v>
      </x:c>
      <x:c r="H112" s="47" t="n">
        <x:v>14</x:v>
      </x:c>
      <x:c r="I112" s="47" t="n">
        <x:v>8.5</x:v>
      </x:c>
      <x:c r="J112" s="47" t="n">
        <x:v>22.5</x:v>
      </x:c>
      <x:c r="K112" s="47" t="n">
        <x:v>63</x:v>
      </x:c>
      <x:c r="L112" s="47" t="str">
        <x:v>ASK</x:v>
      </x:c>
      <x:c r="M112" s="47" t="str">
        <x:v>□△ + ▽◎ + △ + ◎?</x:v>
      </x:c>
      <x:c r="N112" s="47" t="str">
        <x:v>Be(Structure donor) with F(Strong receiver): ASK in model.</x:v>
      </x:c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 t="str">
        <x:v>Be</x:v>
      </x:c>
      <x:c r="B113" s="47" t="str">
        <x:v>Ne</x:v>
      </x:c>
      <x:c r="C113" s="47" t="str">
        <x:v>Structure donor</x:v>
      </x:c>
      <x:c r="D113" s="47" t="str">
        <x:v>Closed Gate</x:v>
      </x:c>
      <x:c r="E113" s="47" t="str">
        <x:v>□△</x:v>
      </x:c>
      <x:c r="F113" s="47" t="str">
        <x:v>◎✓</x:v>
      </x:c>
      <x:c r="G113" s="47" t="n">
        <x:v>1.9</x:v>
      </x:c>
      <x:c r="H113" s="47" t="n">
        <x:v>15</x:v>
      </x:c>
      <x:c r="I113" s="47" t="n">
        <x:v>4</x:v>
      </x:c>
      <x:c r="J113" s="47" t="n">
        <x:v>29.5</x:v>
      </x:c>
      <x:c r="K113" s="47" t="n">
        <x:v>42.4</x:v>
      </x:c>
      <x:c r="L113" s="47" t="str">
        <x:v>REPAIR</x:v>
      </x:c>
      <x:c r="M113" s="47" t="str">
        <x:v>□△ + ◎✓ + △ + ↺</x:v>
      </x:c>
      <x:c r="N113" s="47" t="str">
        <x:v>Be(Structure donor) with Ne(Closed Gate): REPAIR in model.</x:v>
      </x:c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 t="str">
        <x:v>Be</x:v>
      </x:c>
      <x:c r="B114" s="47" t="str">
        <x:v>Na</x:v>
      </x:c>
      <x:c r="C114" s="47" t="str">
        <x:v>Structure donor</x:v>
      </x:c>
      <x:c r="D114" s="47" t="str">
        <x:v>Strong donor</x:v>
      </x:c>
      <x:c r="E114" s="47" t="str">
        <x:v>□△</x:v>
      </x:c>
      <x:c r="F114" s="47" t="str">
        <x:v>△ᛏ</x:v>
      </x:c>
      <x:c r="G114" s="47" t="n">
        <x:v>11.8</x:v>
      </x:c>
      <x:c r="H114" s="47" t="n">
        <x:v>13</x:v>
      </x:c>
      <x:c r="I114" s="47" t="n">
        <x:v>9</x:v>
      </x:c>
      <x:c r="J114" s="47" t="n">
        <x:v>16</x:v>
      </x:c>
      <x:c r="K114" s="47" t="n">
        <x:v>31.8</x:v>
      </x:c>
      <x:c r="L114" s="47" t="str">
        <x:v>HOLD</x:v>
      </x:c>
      <x:c r="M114" s="47" t="str">
        <x:v>□△ + △ᛏ + △ + HOLD</x:v>
      </x:c>
      <x:c r="N114" s="47" t="str">
        <x:v>Be(Structure donor) with Na(Strong donor): HOLD in model.</x:v>
      </x:c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 t="str">
        <x:v>Be</x:v>
      </x:c>
      <x:c r="B115" s="47" t="str">
        <x:v>Mg</x:v>
      </x:c>
      <x:c r="C115" s="47" t="str">
        <x:v>Structure donor</x:v>
      </x:c>
      <x:c r="D115" s="47" t="str">
        <x:v>Structure donor</x:v>
      </x:c>
      <x:c r="E115" s="47" t="str">
        <x:v>□△</x:v>
      </x:c>
      <x:c r="F115" s="47" t="str">
        <x:v>□△</x:v>
      </x:c>
      <x:c r="G115" s="47" t="n">
        <x:v>12</x:v>
      </x:c>
      <x:c r="H115" s="47" t="n">
        <x:v>19</x:v>
      </x:c>
      <x:c r="I115" s="47" t="n">
        <x:v>7</x:v>
      </x:c>
      <x:c r="J115" s="47" t="n">
        <x:v>20.5</x:v>
      </x:c>
      <x:c r="K115" s="47" t="n">
        <x:v>44.5</x:v>
      </x:c>
      <x:c r="L115" s="47" t="str">
        <x:v>REPAIR</x:v>
      </x:c>
      <x:c r="M115" s="47" t="str">
        <x:v>□△ + □△ + △ + ↺</x:v>
      </x:c>
      <x:c r="N115" s="47" t="str">
        <x:v>Be(Structure donor) with Mg(Structure donor): REPAIR in model.</x:v>
      </x:c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 t="str">
        <x:v>Be</x:v>
      </x:c>
      <x:c r="B116" s="47" t="str">
        <x:v>Al</x:v>
      </x:c>
      <x:c r="C116" s="47" t="str">
        <x:v>Structure donor</x:v>
      </x:c>
      <x:c r="D116" s="47" t="str">
        <x:v>Form builder</x:v>
      </x:c>
      <x:c r="E116" s="47" t="str">
        <x:v>□△</x:v>
      </x:c>
      <x:c r="F116" s="47" t="str">
        <x:v>□◎</x:v>
      </x:c>
      <x:c r="G116" s="47" t="n">
        <x:v>15.1</x:v>
      </x:c>
      <x:c r="H116" s="47" t="n">
        <x:v>17</x:v>
      </x:c>
      <x:c r="I116" s="47" t="n">
        <x:v>6</x:v>
      </x:c>
      <x:c r="J116" s="47" t="n">
        <x:v>22.5</x:v>
      </x:c>
      <x:c r="K116" s="47" t="n">
        <x:v>48.6</x:v>
      </x:c>
      <x:c r="L116" s="47" t="str">
        <x:v>REPAIR</x:v>
      </x:c>
      <x:c r="M116" s="47" t="str">
        <x:v>□△ + □◎ + △ + ↺</x:v>
      </x:c>
      <x:c r="N116" s="47" t="str">
        <x:v>Be(Structure donor) with Al(Form builder): REPAIR in model.</x:v>
      </x:c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 t="str">
        <x:v>Be</x:v>
      </x:c>
      <x:c r="B117" s="47" t="str">
        <x:v>Si</x:v>
      </x:c>
      <x:c r="C117" s="47" t="str">
        <x:v>Structure donor</x:v>
      </x:c>
      <x:c r="D117" s="47" t="str">
        <x:v>Lattice engineer</x:v>
      </x:c>
      <x:c r="E117" s="47" t="str">
        <x:v>□△</x:v>
      </x:c>
      <x:c r="F117" s="47" t="str">
        <x:v>□◉</x:v>
      </x:c>
      <x:c r="G117" s="47" t="n">
        <x:v>16.4</x:v>
      </x:c>
      <x:c r="H117" s="47" t="n">
        <x:v>14</x:v>
      </x:c>
      <x:c r="I117" s="47" t="n">
        <x:v>5.5</x:v>
      </x:c>
      <x:c r="J117" s="47" t="n">
        <x:v>25</x:v>
      </x:c>
      <x:c r="K117" s="47" t="n">
        <x:v>49.9</x:v>
      </x:c>
      <x:c r="L117" s="47" t="str">
        <x:v>REPAIR</x:v>
      </x:c>
      <x:c r="M117" s="47" t="str">
        <x:v>□△ + □◉ + △ + ↺</x:v>
      </x:c>
      <x:c r="N117" s="47" t="str">
        <x:v>Be(Structure donor) with Si(Lattice engineer): REPAIR in model.</x:v>
      </x:c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 t="str">
        <x:v>Be</x:v>
      </x:c>
      <x:c r="B118" s="47" t="str">
        <x:v>P</x:v>
      </x:c>
      <x:c r="C118" s="47" t="str">
        <x:v>Structure donor</x:v>
      </x:c>
      <x:c r="D118" s="47" t="str">
        <x:v>Energy memory</x:v>
      </x:c>
      <x:c r="E118" s="47" t="str">
        <x:v>□△</x:v>
      </x:c>
      <x:c r="F118" s="47" t="str">
        <x:v>◉△</x:v>
      </x:c>
      <x:c r="G118" s="47" t="n">
        <x:v>24.4</x:v>
      </x:c>
      <x:c r="H118" s="47" t="n">
        <x:v>19</x:v>
      </x:c>
      <x:c r="I118" s="47" t="n">
        <x:v>7.5</x:v>
      </x:c>
      <x:c r="J118" s="47" t="n">
        <x:v>22.5</x:v>
      </x:c>
      <x:c r="K118" s="47" t="n">
        <x:v>58.4</x:v>
      </x:c>
      <x:c r="L118" s="47" t="str">
        <x:v>ASK</x:v>
      </x:c>
      <x:c r="M118" s="47" t="str">
        <x:v>□△ + ◉△ + △ + ◎?</x:v>
      </x:c>
      <x:c r="N118" s="47" t="str">
        <x:v>Be(Structure donor) with P(Energy memory): ASK in model.</x:v>
      </x:c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 t="str">
        <x:v>Be</x:v>
      </x:c>
      <x:c r="B119" s="47" t="str">
        <x:v>S</x:v>
      </x:c>
      <x:c r="C119" s="47" t="str">
        <x:v>Structure donor</x:v>
      </x:c>
      <x:c r="D119" s="47" t="str">
        <x:v>Connector phase</x:v>
      </x:c>
      <x:c r="E119" s="47" t="str">
        <x:v>□△</x:v>
      </x:c>
      <x:c r="F119" s="47" t="str">
        <x:v>↺▽</x:v>
      </x:c>
      <x:c r="G119" s="47" t="n">
        <x:v>24.8</x:v>
      </x:c>
      <x:c r="H119" s="47" t="n">
        <x:v>20</x:v>
      </x:c>
      <x:c r="I119" s="47" t="n">
        <x:v>7</x:v>
      </x:c>
      <x:c r="J119" s="47" t="n">
        <x:v>22</x:v>
      </x:c>
      <x:c r="K119" s="47" t="n">
        <x:v>59.8</x:v>
      </x:c>
      <x:c r="L119" s="47" t="str">
        <x:v>ASK</x:v>
      </x:c>
      <x:c r="M119" s="47" t="str">
        <x:v>□△ + ↺▽ + △ + ◎?</x:v>
      </x:c>
      <x:c r="N119" s="47" t="str">
        <x:v>Be(Structure donor) with S(Connector phase): ASK in model.</x:v>
      </x:c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 t="str">
        <x:v>Be</x:v>
      </x:c>
      <x:c r="B120" s="47" t="str">
        <x:v>Cl</x:v>
      </x:c>
      <x:c r="C120" s="47" t="str">
        <x:v>Structure donor</x:v>
      </x:c>
      <x:c r="D120" s="47" t="str">
        <x:v>Receiver closure</x:v>
      </x:c>
      <x:c r="E120" s="47" t="str">
        <x:v>□△</x:v>
      </x:c>
      <x:c r="F120" s="47" t="str">
        <x:v>▽◎</x:v>
      </x:c>
      <x:c r="G120" s="47" t="n">
        <x:v>33.1</x:v>
      </x:c>
      <x:c r="H120" s="47" t="n">
        <x:v>15</x:v>
      </x:c>
      <x:c r="I120" s="47" t="n">
        <x:v>8</x:v>
      </x:c>
      <x:c r="J120" s="47" t="n">
        <x:v>23</x:v>
      </x:c>
      <x:c r="K120" s="47" t="n">
        <x:v>63.1</x:v>
      </x:c>
      <x:c r="L120" s="47" t="str">
        <x:v>ASK</x:v>
      </x:c>
      <x:c r="M120" s="47" t="str">
        <x:v>□△ + ▽◎ + △ + ◎?</x:v>
      </x:c>
      <x:c r="N120" s="47" t="str">
        <x:v>Be(Structure donor) with Cl(Receiver closure): ASK in model.</x:v>
      </x:c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 t="str">
        <x:v>Be</x:v>
      </x:c>
      <x:c r="B121" s="47" t="str">
        <x:v>Ar</x:v>
      </x:c>
      <x:c r="C121" s="47" t="str">
        <x:v>Structure donor</x:v>
      </x:c>
      <x:c r="D121" s="47" t="str">
        <x:v>Closed Gate</x:v>
      </x:c>
      <x:c r="E121" s="47" t="str">
        <x:v>□△</x:v>
      </x:c>
      <x:c r="F121" s="47" t="str">
        <x:v>◎✓</x:v>
      </x:c>
      <x:c r="G121" s="47" t="n">
        <x:v>1.9</x:v>
      </x:c>
      <x:c r="H121" s="47" t="n">
        <x:v>15</x:v>
      </x:c>
      <x:c r="I121" s="47" t="n">
        <x:v>4</x:v>
      </x:c>
      <x:c r="J121" s="47" t="n">
        <x:v>29.5</x:v>
      </x:c>
      <x:c r="K121" s="47" t="n">
        <x:v>42.4</x:v>
      </x:c>
      <x:c r="L121" s="47" t="str">
        <x:v>REPAIR</x:v>
      </x:c>
      <x:c r="M121" s="47" t="str">
        <x:v>□△ + ◎✓ + △ + ↺</x:v>
      </x:c>
      <x:c r="N121" s="47" t="str">
        <x:v>Be(Structure donor) with Ar(Closed Gate): REPAIR in model.</x:v>
      </x:c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 t="str">
        <x:v>Be</x:v>
      </x:c>
      <x:c r="B122" s="47" t="str">
        <x:v>K</x:v>
      </x:c>
      <x:c r="C122" s="47" t="str">
        <x:v>Structure donor</x:v>
      </x:c>
      <x:c r="D122" s="47" t="str">
        <x:v>Heavy opener</x:v>
      </x:c>
      <x:c r="E122" s="47" t="str">
        <x:v>□△</x:v>
      </x:c>
      <x:c r="F122" s="47" t="str">
        <x:v>△ᛏ</x:v>
      </x:c>
      <x:c r="G122" s="47" t="n">
        <x:v>12.2</x:v>
      </x:c>
      <x:c r="H122" s="47" t="n">
        <x:v>13</x:v>
      </x:c>
      <x:c r="I122" s="47" t="n">
        <x:v>10</x:v>
      </x:c>
      <x:c r="J122" s="47" t="n">
        <x:v>15</x:v>
      </x:c>
      <x:c r="K122" s="47" t="n">
        <x:v>30.2</x:v>
      </x:c>
      <x:c r="L122" s="47" t="str">
        <x:v>HOLD</x:v>
      </x:c>
      <x:c r="M122" s="47" t="str">
        <x:v>□△ + △ᛏ + △ + HOLD</x:v>
      </x:c>
      <x:c r="N122" s="47" t="str">
        <x:v>Be(Structure donor) with K(Heavy opener): HOLD in model.</x:v>
      </x:c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 t="str">
        <x:v>Be</x:v>
      </x:c>
      <x:c r="B123" s="47" t="str">
        <x:v>Ca</x:v>
      </x:c>
      <x:c r="C123" s="47" t="str">
        <x:v>Structure donor</x:v>
      </x:c>
      <x:c r="D123" s="47" t="str">
        <x:v>Tank structure</x:v>
      </x:c>
      <x:c r="E123" s="47" t="str">
        <x:v>□△</x:v>
      </x:c>
      <x:c r="F123" s="47" t="str">
        <x:v>ᛉ□</x:v>
      </x:c>
      <x:c r="G123" s="47" t="n">
        <x:v>12.9</x:v>
      </x:c>
      <x:c r="H123" s="47" t="n">
        <x:v>17</x:v>
      </x:c>
      <x:c r="I123" s="47" t="n">
        <x:v>6.5</x:v>
      </x:c>
      <x:c r="J123" s="47" t="n">
        <x:v>22.5</x:v>
      </x:c>
      <x:c r="K123" s="47" t="n">
        <x:v>45.9</x:v>
      </x:c>
      <x:c r="L123" s="47" t="str">
        <x:v>REPAIR</x:v>
      </x:c>
      <x:c r="M123" s="47" t="str">
        <x:v>□△ + ᛉ□ + △ + ↺</x:v>
      </x:c>
      <x:c r="N123" s="47" t="str">
        <x:v>Be(Structure donor) with Ca(Tank structure): REPAIR in model.</x:v>
      </x:c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 t="str">
        <x:v>Be</x:v>
      </x:c>
      <x:c r="B124" s="47" t="str">
        <x:v>Sc</x:v>
      </x:c>
      <x:c r="C124" s="47" t="str">
        <x:v>Structure donor</x:v>
      </x:c>
      <x:c r="D124" s="47" t="str">
        <x:v>Transition bridge</x:v>
      </x:c>
      <x:c r="E124" s="47" t="str">
        <x:v>□△</x:v>
      </x:c>
      <x:c r="F124" s="47" t="str">
        <x:v>↺□</x:v>
      </x:c>
      <x:c r="G124" s="47" t="n">
        <x:v>15.1</x:v>
      </x:c>
      <x:c r="H124" s="47" t="n">
        <x:v>18</x:v>
      </x:c>
      <x:c r="I124" s="47" t="n">
        <x:v>6.5</x:v>
      </x:c>
      <x:c r="J124" s="47" t="n">
        <x:v>22</x:v>
      </x:c>
      <x:c r="K124" s="47" t="n">
        <x:v>48.6</x:v>
      </x:c>
      <x:c r="L124" s="47" t="str">
        <x:v>REPAIR</x:v>
      </x:c>
      <x:c r="M124" s="47" t="str">
        <x:v>□△ + ↺□ + △ + ↺</x:v>
      </x:c>
      <x:c r="N124" s="47" t="str">
        <x:v>Be(Structure donor) with Sc(Transition bridge): REPAIR in model.</x:v>
      </x:c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 t="str">
        <x:v>Be</x:v>
      </x:c>
      <x:c r="B125" s="47" t="str">
        <x:v>Ti</x:v>
      </x:c>
      <x:c r="C125" s="47" t="str">
        <x:v>Structure donor</x:v>
      </x:c>
      <x:c r="D125" s="47" t="str">
        <x:v>Strong structure</x:v>
      </x:c>
      <x:c r="E125" s="47" t="str">
        <x:v>□△</x:v>
      </x:c>
      <x:c r="F125" s="47" t="str">
        <x:v>ᛉ□</x:v>
      </x:c>
      <x:c r="G125" s="47" t="n">
        <x:v>15.1</x:v>
      </x:c>
      <x:c r="H125" s="47" t="n">
        <x:v>15</x:v>
      </x:c>
      <x:c r="I125" s="47" t="n">
        <x:v>5.5</x:v>
      </x:c>
      <x:c r="J125" s="47" t="n">
        <x:v>25</x:v>
      </x:c>
      <x:c r="K125" s="47" t="n">
        <x:v>49.6</x:v>
      </x:c>
      <x:c r="L125" s="47" t="str">
        <x:v>REPAIR</x:v>
      </x:c>
      <x:c r="M125" s="47" t="str">
        <x:v>□△ + ᛉ□ + △ + ↺</x:v>
      </x:c>
      <x:c r="N125" s="47" t="str">
        <x:v>Be(Structure donor) with Ti(Strong structure): REPAIR in model.</x:v>
      </x:c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 t="str">
        <x:v>Be</x:v>
      </x:c>
      <x:c r="B126" s="47" t="str">
        <x:v>V</x:v>
      </x:c>
      <x:c r="C126" s="47" t="str">
        <x:v>Structure donor</x:v>
      </x:c>
      <x:c r="D126" s="47" t="str">
        <x:v>Multi-state gate</x:v>
      </x:c>
      <x:c r="E126" s="47" t="str">
        <x:v>□△</x:v>
      </x:c>
      <x:c r="F126" s="47" t="str">
        <x:v>◎↺</x:v>
      </x:c>
      <x:c r="G126" s="47" t="n">
        <x:v>18.9</x:v>
      </x:c>
      <x:c r="H126" s="47" t="n">
        <x:v>18</x:v>
      </x:c>
      <x:c r="I126" s="47" t="n">
        <x:v>8</x:v>
      </x:c>
      <x:c r="J126" s="47" t="n">
        <x:v>22.5</x:v>
      </x:c>
      <x:c r="K126" s="47" t="n">
        <x:v>51.4</x:v>
      </x:c>
      <x:c r="L126" s="47" t="str">
        <x:v>REPAIR</x:v>
      </x:c>
      <x:c r="M126" s="47" t="str">
        <x:v>□△ + ◎↺ + △ + ↺</x:v>
      </x:c>
      <x:c r="N126" s="47" t="str">
        <x:v>Be(Structure donor) with V(Multi-state gate): REPAIR in model.</x:v>
      </x:c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 t="str">
        <x:v>Be</x:v>
      </x:c>
      <x:c r="B127" s="47" t="str">
        <x:v>Cr</x:v>
      </x:c>
      <x:c r="C127" s="47" t="str">
        <x:v>Structure donor</x:v>
      </x:c>
      <x:c r="D127" s="47" t="str">
        <x:v>Surface guardian</x:v>
      </x:c>
      <x:c r="E127" s="47" t="str">
        <x:v>□△</x:v>
      </x:c>
      <x:c r="F127" s="47" t="str">
        <x:v>ᛉ◎</x:v>
      </x:c>
      <x:c r="G127" s="47" t="n">
        <x:v>18.4</x:v>
      </x:c>
      <x:c r="H127" s="47" t="n">
        <x:v>16</x:v>
      </x:c>
      <x:c r="I127" s="47" t="n">
        <x:v>7</x:v>
      </x:c>
      <x:c r="J127" s="47" t="n">
        <x:v>25</x:v>
      </x:c>
      <x:c r="K127" s="47" t="n">
        <x:v>52.4</x:v>
      </x:c>
      <x:c r="L127" s="47" t="str">
        <x:v>REPAIR</x:v>
      </x:c>
      <x:c r="M127" s="47" t="str">
        <x:v>□△ + ᛉ◎ + △ + ↺</x:v>
      </x:c>
      <x:c r="N127" s="47" t="str">
        <x:v>Be(Structure donor) with Cr(Surface guardian): REPAIR in model.</x:v>
      </x:c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 t="str">
        <x:v>Be</x:v>
      </x:c>
      <x:c r="B128" s="47" t="str">
        <x:v>Mn</x:v>
      </x:c>
      <x:c r="C128" s="47" t="str">
        <x:v>Structure donor</x:v>
      </x:c>
      <x:c r="D128" s="47" t="str">
        <x:v>Redox archer</x:v>
      </x:c>
      <x:c r="E128" s="47" t="str">
        <x:v>□△</x:v>
      </x:c>
      <x:c r="F128" s="47" t="str">
        <x:v>ᛏ↺</x:v>
      </x:c>
      <x:c r="G128" s="47" t="n">
        <x:v>22.6</x:v>
      </x:c>
      <x:c r="H128" s="47" t="n">
        <x:v>20</x:v>
      </x:c>
      <x:c r="I128" s="47" t="n">
        <x:v>9</x:v>
      </x:c>
      <x:c r="J128" s="47" t="n">
        <x:v>21</x:v>
      </x:c>
      <x:c r="K128" s="47" t="n">
        <x:v>54.6</x:v>
      </x:c>
      <x:c r="L128" s="47" t="str">
        <x:v>REPAIR</x:v>
      </x:c>
      <x:c r="M128" s="47" t="str">
        <x:v>□△ + ᛏ↺ + △ + ↺</x:v>
      </x:c>
      <x:c r="N128" s="47" t="str">
        <x:v>Be(Structure donor) with Mn(Redox archer): REPAIR in model.</x:v>
      </x:c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 t="str">
        <x:v>Be</x:v>
      </x:c>
      <x:c r="B129" s="47" t="str">
        <x:v>Fe</x:v>
      </x:c>
      <x:c r="C129" s="47" t="str">
        <x:v>Structure donor</x:v>
      </x:c>
      <x:c r="D129" s="47" t="str">
        <x:v>Tank memory</x:v>
      </x:c>
      <x:c r="E129" s="47" t="str">
        <x:v>□△</x:v>
      </x:c>
      <x:c r="F129" s="47" t="str">
        <x:v>ᛉ◉</x:v>
      </x:c>
      <x:c r="G129" s="47" t="n">
        <x:v>21.6</x:v>
      </x:c>
      <x:c r="H129" s="47" t="n">
        <x:v>15</x:v>
      </x:c>
      <x:c r="I129" s="47" t="n">
        <x:v>7</x:v>
      </x:c>
      <x:c r="J129" s="47" t="n">
        <x:v>24</x:v>
      </x:c>
      <x:c r="K129" s="47" t="n">
        <x:v>53.6</x:v>
      </x:c>
      <x:c r="L129" s="47" t="str">
        <x:v>REPAIR</x:v>
      </x:c>
      <x:c r="M129" s="47" t="str">
        <x:v>□△ + ᛉ◉ + △ + ↺</x:v>
      </x:c>
      <x:c r="N129" s="47" t="str">
        <x:v>Be(Structure donor) with Fe(Tank memory): REPAIR in model.</x:v>
      </x:c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 t="str">
        <x:v>Be</x:v>
      </x:c>
      <x:c r="B130" s="47" t="str">
        <x:v>Co</x:v>
      </x:c>
      <x:c r="C130" s="47" t="str">
        <x:v>Structure donor</x:v>
      </x:c>
      <x:c r="D130" s="47" t="str">
        <x:v>Magnetic bridge</x:v>
      </x:c>
      <x:c r="E130" s="47" t="str">
        <x:v>□△</x:v>
      </x:c>
      <x:c r="F130" s="47" t="str">
        <x:v>◉ᛉ</x:v>
      </x:c>
      <x:c r="G130" s="47" t="n">
        <x:v>19.8</x:v>
      </x:c>
      <x:c r="H130" s="47" t="n">
        <x:v>16</x:v>
      </x:c>
      <x:c r="I130" s="47" t="n">
        <x:v>7</x:v>
      </x:c>
      <x:c r="J130" s="47" t="n">
        <x:v>23.5</x:v>
      </x:c>
      <x:c r="K130" s="47" t="n">
        <x:v>52.3</x:v>
      </x:c>
      <x:c r="L130" s="47" t="str">
        <x:v>REPAIR</x:v>
      </x:c>
      <x:c r="M130" s="47" t="str">
        <x:v>□△ + ◉ᛉ + △ + ↺</x:v>
      </x:c>
      <x:c r="N130" s="47" t="str">
        <x:v>Be(Structure donor) with Co(Magnetic bridge): REPAIR in model.</x:v>
      </x:c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 t="str">
        <x:v>Be</x:v>
      </x:c>
      <x:c r="B131" s="47" t="str">
        <x:v>Ni</x:v>
      </x:c>
      <x:c r="C131" s="47" t="str">
        <x:v>Structure donor</x:v>
      </x:c>
      <x:c r="D131" s="47" t="str">
        <x:v>Catalytic guard</x:v>
      </x:c>
      <x:c r="E131" s="47" t="str">
        <x:v>□△</x:v>
      </x:c>
      <x:c r="F131" s="47" t="str">
        <x:v>◎↺</x:v>
      </x:c>
      <x:c r="G131" s="47" t="n">
        <x:v>20.6</x:v>
      </x:c>
      <x:c r="H131" s="47" t="n">
        <x:v>16</x:v>
      </x:c>
      <x:c r="I131" s="47" t="n">
        <x:v>6.5</x:v>
      </x:c>
      <x:c r="J131" s="47" t="n">
        <x:v>24.5</x:v>
      </x:c>
      <x:c r="K131" s="47" t="n">
        <x:v>54.6</x:v>
      </x:c>
      <x:c r="L131" s="47" t="str">
        <x:v>REPAIR</x:v>
      </x:c>
      <x:c r="M131" s="47" t="str">
        <x:v>□△ + ◎↺ + △ + ↺</x:v>
      </x:c>
      <x:c r="N131" s="47" t="str">
        <x:v>Be(Structure donor) with Ni(Catalytic guard): REPAIR in model.</x:v>
      </x:c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 t="str">
        <x:v>Be</x:v>
      </x:c>
      <x:c r="B132" s="47" t="str">
        <x:v>Cu</x:v>
      </x:c>
      <x:c r="C132" s="47" t="str">
        <x:v>Structure donor</x:v>
      </x:c>
      <x:c r="D132" s="47" t="str">
        <x:v>Conductor flow</x:v>
      </x:c>
      <x:c r="E132" s="47" t="str">
        <x:v>□△</x:v>
      </x:c>
      <x:c r="F132" s="47" t="str">
        <x:v>↺ᛏ</x:v>
      </x:c>
      <x:c r="G132" s="47" t="n">
        <x:v>21.1</x:v>
      </x:c>
      <x:c r="H132" s="47" t="n">
        <x:v>18</x:v>
      </x:c>
      <x:c r="I132" s="47" t="n">
        <x:v>6</x:v>
      </x:c>
      <x:c r="J132" s="47" t="n">
        <x:v>23.5</x:v>
      </x:c>
      <x:c r="K132" s="47" t="n">
        <x:v>56.6</x:v>
      </x:c>
      <x:c r="L132" s="47" t="str">
        <x:v>REPAIR</x:v>
      </x:c>
      <x:c r="M132" s="47" t="str">
        <x:v>□△ + ↺ᛏ + △ + ↺</x:v>
      </x:c>
      <x:c r="N132" s="47" t="str">
        <x:v>Be(Structure donor) with Cu(Conductor flow): REPAIR in model.</x:v>
      </x:c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 t="str">
        <x:v>Be</x:v>
      </x:c>
      <x:c r="B133" s="47" t="str">
        <x:v>Zn</x:v>
      </x:c>
      <x:c r="C133" s="47" t="str">
        <x:v>Structure donor</x:v>
      </x:c>
      <x:c r="D133" s="47" t="str">
        <x:v>Enzyme stabilizer</x:v>
      </x:c>
      <x:c r="E133" s="47" t="str">
        <x:v>□△</x:v>
      </x:c>
      <x:c r="F133" s="47" t="str">
        <x:v>◎□</x:v>
      </x:c>
      <x:c r="G133" s="47" t="n">
        <x:v>16.4</x:v>
      </x:c>
      <x:c r="H133" s="47" t="n">
        <x:v>16</x:v>
      </x:c>
      <x:c r="I133" s="47" t="n">
        <x:v>5.5</x:v>
      </x:c>
      <x:c r="J133" s="47" t="n">
        <x:v>26.5</x:v>
      </x:c>
      <x:c r="K133" s="47" t="n">
        <x:v>53.4</x:v>
      </x:c>
      <x:c r="L133" s="47" t="str">
        <x:v>REPAIR</x:v>
      </x:c>
      <x:c r="M133" s="47" t="str">
        <x:v>□△ + ◎□ + △ + ↺</x:v>
      </x:c>
      <x:c r="N133" s="47" t="str">
        <x:v>Be(Structure donor) with Zn(Enzyme stabilizer): REPAIR in model.</x:v>
      </x:c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 t="str">
        <x:v>Be</x:v>
      </x:c>
      <x:c r="B134" s="47" t="str">
        <x:v>Ga</x:v>
      </x:c>
      <x:c r="C134" s="47" t="str">
        <x:v>Structure donor</x:v>
      </x:c>
      <x:c r="D134" s="47" t="str">
        <x:v>Soft form gate</x:v>
      </x:c>
      <x:c r="E134" s="47" t="str">
        <x:v>□△</x:v>
      </x:c>
      <x:c r="F134" s="47" t="str">
        <x:v>□↺</x:v>
      </x:c>
      <x:c r="G134" s="47" t="n">
        <x:v>15.5</x:v>
      </x:c>
      <x:c r="H134" s="47" t="n">
        <x:v>19</x:v>
      </x:c>
      <x:c r="I134" s="47" t="n">
        <x:v>6.5</x:v>
      </x:c>
      <x:c r="J134" s="47" t="n">
        <x:v>21.5</x:v>
      </x:c>
      <x:c r="K134" s="47" t="n">
        <x:v>49.5</x:v>
      </x:c>
      <x:c r="L134" s="47" t="str">
        <x:v>REPAIR</x:v>
      </x:c>
      <x:c r="M134" s="47" t="str">
        <x:v>□△ + □↺ + △ + ↺</x:v>
      </x:c>
      <x:c r="N134" s="47" t="str">
        <x:v>Be(Structure donor) with Ga(Soft form gate): REPAIR in model.</x:v>
      </x:c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 t="str">
        <x:v>Be</x:v>
      </x:c>
      <x:c r="B135" s="47" t="str">
        <x:v>Ge</x:v>
      </x:c>
      <x:c r="C135" s="47" t="str">
        <x:v>Structure donor</x:v>
      </x:c>
      <x:c r="D135" s="47" t="str">
        <x:v>Semi lattice</x:v>
      </x:c>
      <x:c r="E135" s="47" t="str">
        <x:v>□△</x:v>
      </x:c>
      <x:c r="F135" s="47" t="str">
        <x:v>□◎</x:v>
      </x:c>
      <x:c r="G135" s="47" t="n">
        <x:v>16.4</x:v>
      </x:c>
      <x:c r="H135" s="47" t="n">
        <x:v>16</x:v>
      </x:c>
      <x:c r="I135" s="47" t="n">
        <x:v>6</x:v>
      </x:c>
      <x:c r="J135" s="47" t="n">
        <x:v>24</x:v>
      </x:c>
      <x:c r="K135" s="47" t="n">
        <x:v>50.4</x:v>
      </x:c>
      <x:c r="L135" s="47" t="str">
        <x:v>REPAIR</x:v>
      </x:c>
      <x:c r="M135" s="47" t="str">
        <x:v>□△ + □◎ + △ + ↺</x:v>
      </x:c>
      <x:c r="N135" s="47" t="str">
        <x:v>Be(Structure donor) with Ge(Semi lattice): REPAIR in model.</x:v>
      </x:c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 t="str">
        <x:v>Be</x:v>
      </x:c>
      <x:c r="B136" s="47" t="str">
        <x:v>As</x:v>
      </x:c>
      <x:c r="C136" s="47" t="str">
        <x:v>Structure donor</x:v>
      </x:c>
      <x:c r="D136" s="47" t="str">
        <x:v>Shadow gate</x:v>
      </x:c>
      <x:c r="E136" s="47" t="str">
        <x:v>□△</x:v>
      </x:c>
      <x:c r="F136" s="47" t="str">
        <x:v>∅◎</x:v>
      </x:c>
      <x:c r="G136" s="47" t="n">
        <x:v>20.1</x:v>
      </x:c>
      <x:c r="H136" s="47" t="n">
        <x:v>20</x:v>
      </x:c>
      <x:c r="I136" s="47" t="n">
        <x:v>11</x:v>
      </x:c>
      <x:c r="J136" s="47" t="n">
        <x:v>19</x:v>
      </x:c>
      <x:c r="K136" s="47" t="n">
        <x:v>48.1</x:v>
      </x:c>
      <x:c r="L136" s="47" t="str">
        <x:v>REPAIR</x:v>
      </x:c>
      <x:c r="M136" s="47" t="str">
        <x:v>□△ + ∅◎ + △ + ↺</x:v>
      </x:c>
      <x:c r="N136" s="47" t="str">
        <x:v>Be(Structure donor) with As(Shadow gate): REPAIR in model.</x:v>
      </x:c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 t="str">
        <x:v>Be</x:v>
      </x:c>
      <x:c r="B137" s="47" t="str">
        <x:v>Se</x:v>
      </x:c>
      <x:c r="C137" s="47" t="str">
        <x:v>Structure donor</x:v>
      </x:c>
      <x:c r="D137" s="47" t="str">
        <x:v>Trace healer</x:v>
      </x:c>
      <x:c r="E137" s="47" t="str">
        <x:v>□△</x:v>
      </x:c>
      <x:c r="F137" s="47" t="str">
        <x:v>↺◉</x:v>
      </x:c>
      <x:c r="G137" s="47" t="n">
        <x:v>22.4</x:v>
      </x:c>
      <x:c r="H137" s="47" t="n">
        <x:v>20</x:v>
      </x:c>
      <x:c r="I137" s="47" t="n">
        <x:v>7.5</x:v>
      </x:c>
      <x:c r="J137" s="47" t="n">
        <x:v>22.5</x:v>
      </x:c>
      <x:c r="K137" s="47" t="n">
        <x:v>57.4</x:v>
      </x:c>
      <x:c r="L137" s="47" t="str">
        <x:v>REPAIR</x:v>
      </x:c>
      <x:c r="M137" s="47" t="str">
        <x:v>□△ + ↺◉ + △ + ↺</x:v>
      </x:c>
      <x:c r="N137" s="47" t="str">
        <x:v>Be(Structure donor) with Se(Trace healer): REPAIR in model.</x:v>
      </x:c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 t="str">
        <x:v>Be</x:v>
      </x:c>
      <x:c r="B138" s="47" t="str">
        <x:v>Br</x:v>
      </x:c>
      <x:c r="C138" s="47" t="str">
        <x:v>Structure donor</x:v>
      </x:c>
      <x:c r="D138" s="47" t="str">
        <x:v>Heavy receiver</x:v>
      </x:c>
      <x:c r="E138" s="47" t="str">
        <x:v>□△</x:v>
      </x:c>
      <x:c r="F138" s="47" t="str">
        <x:v>▽∅</x:v>
      </x:c>
      <x:c r="G138" s="47" t="n">
        <x:v>31.2</x:v>
      </x:c>
      <x:c r="H138" s="47" t="n">
        <x:v>16</x:v>
      </x:c>
      <x:c r="I138" s="47" t="n">
        <x:v>9</x:v>
      </x:c>
      <x:c r="J138" s="47" t="n">
        <x:v>21.5</x:v>
      </x:c>
      <x:c r="K138" s="47" t="n">
        <x:v>59.7</x:v>
      </x:c>
      <x:c r="L138" s="47" t="str">
        <x:v>ASK</x:v>
      </x:c>
      <x:c r="M138" s="47" t="str">
        <x:v>□△ + ▽∅ + △ + ◎?</x:v>
      </x:c>
      <x:c r="N138" s="47" t="str">
        <x:v>Be(Structure donor) with Br(Heavy receiver): ASK in model.</x:v>
      </x:c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 t="str">
        <x:v>Be</x:v>
      </x:c>
      <x:c r="B139" s="47" t="str">
        <x:v>Kr</x:v>
      </x:c>
      <x:c r="C139" s="47" t="str">
        <x:v>Structure donor</x:v>
      </x:c>
      <x:c r="D139" s="47" t="str">
        <x:v>Closed Gate light</x:v>
      </x:c>
      <x:c r="E139" s="47" t="str">
        <x:v>□△</x:v>
      </x:c>
      <x:c r="F139" s="47" t="str">
        <x:v>◎✓</x:v>
      </x:c>
      <x:c r="G139" s="47" t="n">
        <x:v>1.9</x:v>
      </x:c>
      <x:c r="H139" s="47" t="n">
        <x:v>15</x:v>
      </x:c>
      <x:c r="I139" s="47" t="n">
        <x:v>4</x:v>
      </x:c>
      <x:c r="J139" s="47" t="n">
        <x:v>29.5</x:v>
      </x:c>
      <x:c r="K139" s="47" t="n">
        <x:v>42.4</x:v>
      </x:c>
      <x:c r="L139" s="47" t="str">
        <x:v>REPAIR</x:v>
      </x:c>
      <x:c r="M139" s="47" t="str">
        <x:v>□△ + ◎✓ + △ + ↺</x:v>
      </x:c>
      <x:c r="N139" s="47" t="str">
        <x:v>Be(Structure donor) with Kr(Closed Gate light): REPAIR in model.</x:v>
      </x:c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 t="str">
        <x:v>B</x:v>
      </x:c>
      <x:c r="B140" s="47" t="str">
        <x:v>B</x:v>
      </x:c>
      <x:c r="C140" s="47" t="str">
        <x:v>Triangle former</x:v>
      </x:c>
      <x:c r="D140" s="47" t="str">
        <x:v>Triangle former</x:v>
      </x:c>
      <x:c r="E140" s="47" t="str">
        <x:v>△□</x:v>
      </x:c>
      <x:c r="F140" s="47" t="str">
        <x:v>△□</x:v>
      </x:c>
      <x:c r="G140" s="47" t="n">
        <x:v>22.5</x:v>
      </x:c>
      <x:c r="H140" s="47" t="n">
        <x:v>20</x:v>
      </x:c>
      <x:c r="I140" s="47" t="n">
        <x:v>6</x:v>
      </x:c>
      <x:c r="J140" s="47" t="n">
        <x:v>23</x:v>
      </x:c>
      <x:c r="K140" s="47" t="n">
        <x:v>59.5</x:v>
      </x:c>
      <x:c r="L140" s="47" t="str">
        <x:v>ASK</x:v>
      </x:c>
      <x:c r="M140" s="47" t="str">
        <x:v>△□ + △□ + △ + ◎?</x:v>
      </x:c>
      <x:c r="N140" s="47" t="str">
        <x:v>B(Triangle former) with B(Triangle former): ASK in model.</x:v>
      </x:c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 t="str">
        <x:v>B</x:v>
      </x:c>
      <x:c r="B141" s="47" t="str">
        <x:v>C</x:v>
      </x:c>
      <x:c r="C141" s="47" t="str">
        <x:v>Triangle former</x:v>
      </x:c>
      <x:c r="D141" s="47" t="str">
        <x:v>Engineer grammar</x:v>
      </x:c>
      <x:c r="E141" s="47" t="str">
        <x:v>△□</x:v>
      </x:c>
      <x:c r="F141" s="47" t="str">
        <x:v>□◉</x:v>
      </x:c>
      <x:c r="G141" s="47" t="n">
        <x:v>21.4</x:v>
      </x:c>
      <x:c r="H141" s="47" t="n">
        <x:v>15</x:v>
      </x:c>
      <x:c r="I141" s="47" t="n">
        <x:v>5</x:v>
      </x:c>
      <x:c r="J141" s="47" t="n">
        <x:v>26.5</x:v>
      </x:c>
      <x:c r="K141" s="47" t="n">
        <x:v>57.9</x:v>
      </x:c>
      <x:c r="L141" s="47" t="str">
        <x:v>REPAIR</x:v>
      </x:c>
      <x:c r="M141" s="47" t="str">
        <x:v>△□ + □◉ + △ + ↺</x:v>
      </x:c>
      <x:c r="N141" s="47" t="str">
        <x:v>B(Triangle former) with C(Engineer grammar): REPAIR in model.</x:v>
      </x:c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 t="str">
        <x:v>B</x:v>
      </x:c>
      <x:c r="B142" s="47" t="str">
        <x:v>N</x:v>
      </x:c>
      <x:c r="C142" s="47" t="str">
        <x:v>Triangle former</x:v>
      </x:c>
      <x:c r="D142" s="47" t="str">
        <x:v>Bridge guardian</x:v>
      </x:c>
      <x:c r="E142" s="47" t="str">
        <x:v>△□</x:v>
      </x:c>
      <x:c r="F142" s="47" t="str">
        <x:v>◎ᛉ</x:v>
      </x:c>
      <x:c r="G142" s="47" t="n">
        <x:v>27.6</x:v>
      </x:c>
      <x:c r="H142" s="47" t="n">
        <x:v>18</x:v>
      </x:c>
      <x:c r="I142" s="47" t="n">
        <x:v>5.5</x:v>
      </x:c>
      <x:c r="J142" s="47" t="n">
        <x:v>26</x:v>
      </x:c>
      <x:c r="K142" s="47" t="n">
        <x:v>66.1</x:v>
      </x:c>
      <x:c r="L142" s="47" t="str">
        <x:v>ASK</x:v>
      </x:c>
      <x:c r="M142" s="47" t="str">
        <x:v>△□ + ◎ᛉ + △ + ◎?</x:v>
      </x:c>
      <x:c r="N142" s="47" t="str">
        <x:v>B(Triangle former) with N(Bridge guardian): ASK in model.</x:v>
      </x:c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 t="str">
        <x:v>B</x:v>
      </x:c>
      <x:c r="B143" s="47" t="str">
        <x:v>O</x:v>
      </x:c>
      <x:c r="C143" s="47" t="str">
        <x:v>Triangle former</x:v>
      </x:c>
      <x:c r="D143" s="47" t="str">
        <x:v>Receiver activator</x:v>
      </x:c>
      <x:c r="E143" s="47" t="str">
        <x:v>△□</x:v>
      </x:c>
      <x:c r="F143" s="47" t="str">
        <x:v>▽△</x:v>
      </x:c>
      <x:c r="G143" s="47" t="n">
        <x:v>39.5</x:v>
      </x:c>
      <x:c r="H143" s="47" t="n">
        <x:v>14</x:v>
      </x:c>
      <x:c r="I143" s="47" t="n">
        <x:v>6.5</x:v>
      </x:c>
      <x:c r="J143" s="47" t="n">
        <x:v>24.5</x:v>
      </x:c>
      <x:c r="K143" s="47" t="n">
        <x:v>71.5</x:v>
      </x:c>
      <x:c r="L143" s="47" t="str">
        <x:v>ASK</x:v>
      </x:c>
      <x:c r="M143" s="47" t="str">
        <x:v>△□ + ▽△ + △ + ◎?</x:v>
      </x:c>
      <x:c r="N143" s="47" t="str">
        <x:v>B(Triangle former) with O(Receiver activator): ASK in model.</x:v>
      </x:c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 t="str">
        <x:v>B</x:v>
      </x:c>
      <x:c r="B144" s="47" t="str">
        <x:v>F</x:v>
      </x:c>
      <x:c r="C144" s="47" t="str">
        <x:v>Triangle former</x:v>
      </x:c>
      <x:c r="D144" s="47" t="str">
        <x:v>Strong receiver</x:v>
      </x:c>
      <x:c r="E144" s="47" t="str">
        <x:v>△□</x:v>
      </x:c>
      <x:c r="F144" s="47" t="str">
        <x:v>▽◎</x:v>
      </x:c>
      <x:c r="G144" s="47" t="n">
        <x:v>41.9</x:v>
      </x:c>
      <x:c r="H144" s="47" t="n">
        <x:v>12</x:v>
      </x:c>
      <x:c r="I144" s="47" t="n">
        <x:v>8</x:v>
      </x:c>
      <x:c r="J144" s="47" t="n">
        <x:v>24</x:v>
      </x:c>
      <x:c r="K144" s="47" t="n">
        <x:v>69.9</x:v>
      </x:c>
      <x:c r="L144" s="47" t="str">
        <x:v>ASK</x:v>
      </x:c>
      <x:c r="M144" s="47" t="str">
        <x:v>△□ + ▽◎ + △ + ◎?</x:v>
      </x:c>
      <x:c r="N144" s="47" t="str">
        <x:v>B(Triangle former) with F(Strong receiver): ASK in model.</x:v>
      </x:c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 t="str">
        <x:v>B</x:v>
      </x:c>
      <x:c r="B145" s="47" t="str">
        <x:v>Ne</x:v>
      </x:c>
      <x:c r="C145" s="47" t="str">
        <x:v>Triangle former</x:v>
      </x:c>
      <x:c r="D145" s="47" t="str">
        <x:v>Closed Gate</x:v>
      </x:c>
      <x:c r="E145" s="47" t="str">
        <x:v>△□</x:v>
      </x:c>
      <x:c r="F145" s="47" t="str">
        <x:v>◎✓</x:v>
      </x:c>
      <x:c r="G145" s="47" t="n">
        <x:v>2.4</x:v>
      </x:c>
      <x:c r="H145" s="47" t="n">
        <x:v>17</x:v>
      </x:c>
      <x:c r="I145" s="47" t="n">
        <x:v>3.5</x:v>
      </x:c>
      <x:c r="J145" s="47" t="n">
        <x:v>31</x:v>
      </x:c>
      <x:c r="K145" s="47" t="n">
        <x:v>46.9</x:v>
      </x:c>
      <x:c r="L145" s="47" t="str">
        <x:v>REPAIR</x:v>
      </x:c>
      <x:c r="M145" s="47" t="str">
        <x:v>△□ + ◎✓ + △ + ↺</x:v>
      </x:c>
      <x:c r="N145" s="47" t="str">
        <x:v>B(Triangle former) with Ne(Closed Gate): REPAIR in model.</x:v>
      </x:c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 t="str">
        <x:v>B</x:v>
      </x:c>
      <x:c r="B146" s="47" t="str">
        <x:v>Na</x:v>
      </x:c>
      <x:c r="C146" s="47" t="str">
        <x:v>Triangle former</x:v>
      </x:c>
      <x:c r="D146" s="47" t="str">
        <x:v>Strong donor</x:v>
      </x:c>
      <x:c r="E146" s="47" t="str">
        <x:v>△□</x:v>
      </x:c>
      <x:c r="F146" s="47" t="str">
        <x:v>△ᛏ</x:v>
      </x:c>
      <x:c r="G146" s="47" t="n">
        <x:v>22.8</x:v>
      </x:c>
      <x:c r="H146" s="47" t="n">
        <x:v>11</x:v>
      </x:c>
      <x:c r="I146" s="47" t="n">
        <x:v>8.5</x:v>
      </x:c>
      <x:c r="J146" s="47" t="n">
        <x:v>17.5</x:v>
      </x:c>
      <x:c r="K146" s="47" t="n">
        <x:v>42.8</x:v>
      </x:c>
      <x:c r="L146" s="47" t="str">
        <x:v>REPAIR</x:v>
      </x:c>
      <x:c r="M146" s="47" t="str">
        <x:v>△□ + △ᛏ + △ + ↺</x:v>
      </x:c>
      <x:c r="N146" s="47" t="str">
        <x:v>B(Triangle former) with Na(Strong donor): REPAIR in model.</x:v>
      </x:c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 t="str">
        <x:v>B</x:v>
      </x:c>
      <x:c r="B147" s="47" t="str">
        <x:v>Mg</x:v>
      </x:c>
      <x:c r="C147" s="47" t="str">
        <x:v>Triangle former</x:v>
      </x:c>
      <x:c r="D147" s="47" t="str">
        <x:v>Structure donor</x:v>
      </x:c>
      <x:c r="E147" s="47" t="str">
        <x:v>△□</x:v>
      </x:c>
      <x:c r="F147" s="47" t="str">
        <x:v>□△</x:v>
      </x:c>
      <x:c r="G147" s="47" t="n">
        <x:v>19.6</x:v>
      </x:c>
      <x:c r="H147" s="47" t="n">
        <x:v>19</x:v>
      </x:c>
      <x:c r="I147" s="47" t="n">
        <x:v>6.5</x:v>
      </x:c>
      <x:c r="J147" s="47" t="n">
        <x:v>22</x:v>
      </x:c>
      <x:c r="K147" s="47" t="n">
        <x:v>54.1</x:v>
      </x:c>
      <x:c r="L147" s="47" t="str">
        <x:v>REPAIR</x:v>
      </x:c>
      <x:c r="M147" s="47" t="str">
        <x:v>△□ + □△ + △ + ↺</x:v>
      </x:c>
      <x:c r="N147" s="47" t="str">
        <x:v>B(Triangle former) with Mg(Structure donor): REPAIR in model.</x:v>
      </x:c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 t="str">
        <x:v>B</x:v>
      </x:c>
      <x:c r="B148" s="47" t="str">
        <x:v>Al</x:v>
      </x:c>
      <x:c r="C148" s="47" t="str">
        <x:v>Triangle former</x:v>
      </x:c>
      <x:c r="D148" s="47" t="str">
        <x:v>Form builder</x:v>
      </x:c>
      <x:c r="E148" s="47" t="str">
        <x:v>△□</x:v>
      </x:c>
      <x:c r="F148" s="47" t="str">
        <x:v>□◎</x:v>
      </x:c>
      <x:c r="G148" s="47" t="n">
        <x:v>21.1</x:v>
      </x:c>
      <x:c r="H148" s="47" t="n">
        <x:v>19</x:v>
      </x:c>
      <x:c r="I148" s="47" t="n">
        <x:v>5.5</x:v>
      </x:c>
      <x:c r="J148" s="47" t="n">
        <x:v>24</x:v>
      </x:c>
      <x:c r="K148" s="47" t="n">
        <x:v>58.6</x:v>
      </x:c>
      <x:c r="L148" s="47" t="str">
        <x:v>ASK</x:v>
      </x:c>
      <x:c r="M148" s="47" t="str">
        <x:v>△□ + □◎ + △ + ◎?</x:v>
      </x:c>
      <x:c r="N148" s="47" t="str">
        <x:v>B(Triangle former) with Al(Form builder): ASK in model.</x:v>
      </x:c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 t="str">
        <x:v>B</x:v>
      </x:c>
      <x:c r="B149" s="47" t="str">
        <x:v>Si</x:v>
      </x:c>
      <x:c r="C149" s="47" t="str">
        <x:v>Triangle former</x:v>
      </x:c>
      <x:c r="D149" s="47" t="str">
        <x:v>Lattice engineer</x:v>
      </x:c>
      <x:c r="E149" s="47" t="str">
        <x:v>△□</x:v>
      </x:c>
      <x:c r="F149" s="47" t="str">
        <x:v>□◉</x:v>
      </x:c>
      <x:c r="G149" s="47" t="n">
        <x:v>20.2</x:v>
      </x:c>
      <x:c r="H149" s="47" t="n">
        <x:v>16</x:v>
      </x:c>
      <x:c r="I149" s="47" t="n">
        <x:v>5</x:v>
      </x:c>
      <x:c r="J149" s="47" t="n">
        <x:v>26.5</x:v>
      </x:c>
      <x:c r="K149" s="47" t="n">
        <x:v>57.7</x:v>
      </x:c>
      <x:c r="L149" s="47" t="str">
        <x:v>REPAIR</x:v>
      </x:c>
      <x:c r="M149" s="47" t="str">
        <x:v>△□ + □◉ + △ + ↺</x:v>
      </x:c>
      <x:c r="N149" s="47" t="str">
        <x:v>B(Triangle former) with Si(Lattice engineer): REPAIR in model.</x:v>
      </x:c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 t="str">
        <x:v>B</x:v>
      </x:c>
      <x:c r="B150" s="47" t="str">
        <x:v>P</x:v>
      </x:c>
      <x:c r="C150" s="47" t="str">
        <x:v>Triangle former</x:v>
      </x:c>
      <x:c r="D150" s="47" t="str">
        <x:v>Energy memory</x:v>
      </x:c>
      <x:c r="E150" s="47" t="str">
        <x:v>△□</x:v>
      </x:c>
      <x:c r="F150" s="47" t="str">
        <x:v>◉△</x:v>
      </x:c>
      <x:c r="G150" s="47" t="n">
        <x:v>30.9</x:v>
      </x:c>
      <x:c r="H150" s="47" t="n">
        <x:v>17</x:v>
      </x:c>
      <x:c r="I150" s="47" t="n">
        <x:v>7</x:v>
      </x:c>
      <x:c r="J150" s="47" t="n">
        <x:v>24</x:v>
      </x:c>
      <x:c r="K150" s="47" t="n">
        <x:v>64.9</x:v>
      </x:c>
      <x:c r="L150" s="47" t="str">
        <x:v>ASK</x:v>
      </x:c>
      <x:c r="M150" s="47" t="str">
        <x:v>△□ + ◉△ + △ + ◎?</x:v>
      </x:c>
      <x:c r="N150" s="47" t="str">
        <x:v>B(Triangle former) with P(Energy memory): ASK in model.</x:v>
      </x:c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 t="str">
        <x:v>B</x:v>
      </x:c>
      <x:c r="B151" s="47" t="str">
        <x:v>S</x:v>
      </x:c>
      <x:c r="C151" s="47" t="str">
        <x:v>Triangle former</x:v>
      </x:c>
      <x:c r="D151" s="47" t="str">
        <x:v>Connector phase</x:v>
      </x:c>
      <x:c r="E151" s="47" t="str">
        <x:v>△□</x:v>
      </x:c>
      <x:c r="F151" s="47" t="str">
        <x:v>↺▽</x:v>
      </x:c>
      <x:c r="G151" s="47" t="n">
        <x:v>29.9</x:v>
      </x:c>
      <x:c r="H151" s="47" t="n">
        <x:v>18</x:v>
      </x:c>
      <x:c r="I151" s="47" t="n">
        <x:v>6.5</x:v>
      </x:c>
      <x:c r="J151" s="47" t="n">
        <x:v>23.5</x:v>
      </x:c>
      <x:c r="K151" s="47" t="n">
        <x:v>64.9</x:v>
      </x:c>
      <x:c r="L151" s="47" t="str">
        <x:v>ASK</x:v>
      </x:c>
      <x:c r="M151" s="47" t="str">
        <x:v>△□ + ↺▽ + △ + ◎?</x:v>
      </x:c>
      <x:c r="N151" s="47" t="str">
        <x:v>B(Triangle former) with S(Connector phase): ASK in model.</x:v>
      </x:c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 t="str">
        <x:v>B</x:v>
      </x:c>
      <x:c r="B152" s="47" t="str">
        <x:v>Cl</x:v>
      </x:c>
      <x:c r="C152" s="47" t="str">
        <x:v>Triangle former</x:v>
      </x:c>
      <x:c r="D152" s="47" t="str">
        <x:v>Receiver closure</x:v>
      </x:c>
      <x:c r="E152" s="47" t="str">
        <x:v>△□</x:v>
      </x:c>
      <x:c r="F152" s="47" t="str">
        <x:v>▽◎</x:v>
      </x:c>
      <x:c r="G152" s="47" t="n">
        <x:v>39.5</x:v>
      </x:c>
      <x:c r="H152" s="47" t="n">
        <x:v>13</x:v>
      </x:c>
      <x:c r="I152" s="47" t="n">
        <x:v>7.5</x:v>
      </x:c>
      <x:c r="J152" s="47" t="n">
        <x:v>24.5</x:v>
      </x:c>
      <x:c r="K152" s="47" t="n">
        <x:v>69.5</x:v>
      </x:c>
      <x:c r="L152" s="47" t="str">
        <x:v>ASK</x:v>
      </x:c>
      <x:c r="M152" s="47" t="str">
        <x:v>△□ + ▽◎ + △ + ◎?</x:v>
      </x:c>
      <x:c r="N152" s="47" t="str">
        <x:v>B(Triangle former) with Cl(Receiver closure): ASK in model.</x:v>
      </x:c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 t="str">
        <x:v>B</x:v>
      </x:c>
      <x:c r="B153" s="47" t="str">
        <x:v>Ar</x:v>
      </x:c>
      <x:c r="C153" s="47" t="str">
        <x:v>Triangle former</x:v>
      </x:c>
      <x:c r="D153" s="47" t="str">
        <x:v>Closed Gate</x:v>
      </x:c>
      <x:c r="E153" s="47" t="str">
        <x:v>△□</x:v>
      </x:c>
      <x:c r="F153" s="47" t="str">
        <x:v>◎✓</x:v>
      </x:c>
      <x:c r="G153" s="47" t="n">
        <x:v>2.4</x:v>
      </x:c>
      <x:c r="H153" s="47" t="n">
        <x:v>17</x:v>
      </x:c>
      <x:c r="I153" s="47" t="n">
        <x:v>3.5</x:v>
      </x:c>
      <x:c r="J153" s="47" t="n">
        <x:v>31</x:v>
      </x:c>
      <x:c r="K153" s="47" t="n">
        <x:v>46.9</x:v>
      </x:c>
      <x:c r="L153" s="47" t="str">
        <x:v>REPAIR</x:v>
      </x:c>
      <x:c r="M153" s="47" t="str">
        <x:v>△□ + ◎✓ + △ + ↺</x:v>
      </x:c>
      <x:c r="N153" s="47" t="str">
        <x:v>B(Triangle former) with Ar(Closed Gate): REPAIR in model.</x:v>
      </x:c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 t="str">
        <x:v>B</x:v>
      </x:c>
      <x:c r="B154" s="47" t="str">
        <x:v>K</x:v>
      </x:c>
      <x:c r="C154" s="47" t="str">
        <x:v>Triangle former</x:v>
      </x:c>
      <x:c r="D154" s="47" t="str">
        <x:v>Heavy opener</x:v>
      </x:c>
      <x:c r="E154" s="47" t="str">
        <x:v>△□</x:v>
      </x:c>
      <x:c r="F154" s="47" t="str">
        <x:v>△ᛏ</x:v>
      </x:c>
      <x:c r="G154" s="47" t="n">
        <x:v>23.9</x:v>
      </x:c>
      <x:c r="H154" s="47" t="n">
        <x:v>11</x:v>
      </x:c>
      <x:c r="I154" s="47" t="n">
        <x:v>9.5</x:v>
      </x:c>
      <x:c r="J154" s="47" t="n">
        <x:v>16.5</x:v>
      </x:c>
      <x:c r="K154" s="47" t="n">
        <x:v>41.9</x:v>
      </x:c>
      <x:c r="L154" s="47" t="str">
        <x:v>HOLD</x:v>
      </x:c>
      <x:c r="M154" s="47" t="str">
        <x:v>△□ + △ᛏ + △ + HOLD</x:v>
      </x:c>
      <x:c r="N154" s="47" t="str">
        <x:v>B(Triangle former) with K(Heavy opener): HOLD in model.</x:v>
      </x:c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 t="str">
        <x:v>B</x:v>
      </x:c>
      <x:c r="B155" s="47" t="str">
        <x:v>Ca</x:v>
      </x:c>
      <x:c r="C155" s="47" t="str">
        <x:v>Triangle former</x:v>
      </x:c>
      <x:c r="D155" s="47" t="str">
        <x:v>Tank structure</x:v>
      </x:c>
      <x:c r="E155" s="47" t="str">
        <x:v>△□</x:v>
      </x:c>
      <x:c r="F155" s="47" t="str">
        <x:v>ᛉ□</x:v>
      </x:c>
      <x:c r="G155" s="47" t="n">
        <x:v>19.8</x:v>
      </x:c>
      <x:c r="H155" s="47" t="n">
        <x:v>19</x:v>
      </x:c>
      <x:c r="I155" s="47" t="n">
        <x:v>6</x:v>
      </x:c>
      <x:c r="J155" s="47" t="n">
        <x:v>24</x:v>
      </x:c>
      <x:c r="K155" s="47" t="n">
        <x:v>56.8</x:v>
      </x:c>
      <x:c r="L155" s="47" t="str">
        <x:v>REPAIR</x:v>
      </x:c>
      <x:c r="M155" s="47" t="str">
        <x:v>△□ + ᛉ□ + △ + ↺</x:v>
      </x:c>
      <x:c r="N155" s="47" t="str">
        <x:v>B(Triangle former) with Ca(Tank structure): REPAIR in model.</x:v>
      </x:c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 t="str">
        <x:v>B</x:v>
      </x:c>
      <x:c r="B156" s="47" t="str">
        <x:v>Sc</x:v>
      </x:c>
      <x:c r="C156" s="47" t="str">
        <x:v>Triangle former</x:v>
      </x:c>
      <x:c r="D156" s="47" t="str">
        <x:v>Transition bridge</x:v>
      </x:c>
      <x:c r="E156" s="47" t="str">
        <x:v>△□</x:v>
      </x:c>
      <x:c r="F156" s="47" t="str">
        <x:v>↺□</x:v>
      </x:c>
      <x:c r="G156" s="47" t="n">
        <x:v>21.1</x:v>
      </x:c>
      <x:c r="H156" s="47" t="n">
        <x:v>20</x:v>
      </x:c>
      <x:c r="I156" s="47" t="n">
        <x:v>6</x:v>
      </x:c>
      <x:c r="J156" s="47" t="n">
        <x:v>23.5</x:v>
      </x:c>
      <x:c r="K156" s="47" t="n">
        <x:v>58.6</x:v>
      </x:c>
      <x:c r="L156" s="47" t="str">
        <x:v>ASK</x:v>
      </x:c>
      <x:c r="M156" s="47" t="str">
        <x:v>△□ + ↺□ + △ + ◎?</x:v>
      </x:c>
      <x:c r="N156" s="47" t="str">
        <x:v>B(Triangle former) with Sc(Transition bridge): ASK in model.</x:v>
      </x:c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 t="str">
        <x:v>B</x:v>
      </x:c>
      <x:c r="B157" s="47" t="str">
        <x:v>Ti</x:v>
      </x:c>
      <x:c r="C157" s="47" t="str">
        <x:v>Triangle former</x:v>
      </x:c>
      <x:c r="D157" s="47" t="str">
        <x:v>Strong structure</x:v>
      </x:c>
      <x:c r="E157" s="47" t="str">
        <x:v>△□</x:v>
      </x:c>
      <x:c r="F157" s="47" t="str">
        <x:v>ᛉ□</x:v>
      </x:c>
      <x:c r="G157" s="47" t="n">
        <x:v>21.1</x:v>
      </x:c>
      <x:c r="H157" s="47" t="n">
        <x:v>17</x:v>
      </x:c>
      <x:c r="I157" s="47" t="n">
        <x:v>5</x:v>
      </x:c>
      <x:c r="J157" s="47" t="n">
        <x:v>26.5</x:v>
      </x:c>
      <x:c r="K157" s="47" t="n">
        <x:v>59.6</x:v>
      </x:c>
      <x:c r="L157" s="47" t="str">
        <x:v>ASK</x:v>
      </x:c>
      <x:c r="M157" s="47" t="str">
        <x:v>△□ + ᛉ□ + △ + ◎?</x:v>
      </x:c>
      <x:c r="N157" s="47" t="str">
        <x:v>B(Triangle former) with Ti(Strong structure): ASK in model.</x:v>
      </x:c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 t="str">
        <x:v>B</x:v>
      </x:c>
      <x:c r="B158" s="47" t="str">
        <x:v>V</x:v>
      </x:c>
      <x:c r="C158" s="47" t="str">
        <x:v>Triangle former</x:v>
      </x:c>
      <x:c r="D158" s="47" t="str">
        <x:v>Multi-state gate</x:v>
      </x:c>
      <x:c r="E158" s="47" t="str">
        <x:v>△□</x:v>
      </x:c>
      <x:c r="F158" s="47" t="str">
        <x:v>◎↺</x:v>
      </x:c>
      <x:c r="G158" s="47" t="n">
        <x:v>25.9</x:v>
      </x:c>
      <x:c r="H158" s="47" t="n">
        <x:v>20</x:v>
      </x:c>
      <x:c r="I158" s="47" t="n">
        <x:v>7.5</x:v>
      </x:c>
      <x:c r="J158" s="47" t="n">
        <x:v>24</x:v>
      </x:c>
      <x:c r="K158" s="47" t="n">
        <x:v>62.4</x:v>
      </x:c>
      <x:c r="L158" s="47" t="str">
        <x:v>ASK</x:v>
      </x:c>
      <x:c r="M158" s="47" t="str">
        <x:v>△□ + ◎↺ + △ + ◎?</x:v>
      </x:c>
      <x:c r="N158" s="47" t="str">
        <x:v>B(Triangle former) with V(Multi-state gate): ASK in model.</x:v>
      </x:c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 t="str">
        <x:v>B</x:v>
      </x:c>
      <x:c r="B159" s="47" t="str">
        <x:v>Cr</x:v>
      </x:c>
      <x:c r="C159" s="47" t="str">
        <x:v>Triangle former</x:v>
      </x:c>
      <x:c r="D159" s="47" t="str">
        <x:v>Surface guardian</x:v>
      </x:c>
      <x:c r="E159" s="47" t="str">
        <x:v>△□</x:v>
      </x:c>
      <x:c r="F159" s="47" t="str">
        <x:v>ᛉ◎</x:v>
      </x:c>
      <x:c r="G159" s="47" t="n">
        <x:v>24.8</x:v>
      </x:c>
      <x:c r="H159" s="47" t="n">
        <x:v>18</x:v>
      </x:c>
      <x:c r="I159" s="47" t="n">
        <x:v>6.5</x:v>
      </x:c>
      <x:c r="J159" s="47" t="n">
        <x:v>26.5</x:v>
      </x:c>
      <x:c r="K159" s="47" t="n">
        <x:v>62.8</x:v>
      </x:c>
      <x:c r="L159" s="47" t="str">
        <x:v>ASK</x:v>
      </x:c>
      <x:c r="M159" s="47" t="str">
        <x:v>△□ + ᛉ◎ + △ + ◎?</x:v>
      </x:c>
      <x:c r="N159" s="47" t="str">
        <x:v>B(Triangle former) with Cr(Surface guardian): ASK in model.</x:v>
      </x:c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 t="str">
        <x:v>B</x:v>
      </x:c>
      <x:c r="B160" s="47" t="str">
        <x:v>Mn</x:v>
      </x:c>
      <x:c r="C160" s="47" t="str">
        <x:v>Triangle former</x:v>
      </x:c>
      <x:c r="D160" s="47" t="str">
        <x:v>Redox archer</x:v>
      </x:c>
      <x:c r="E160" s="47" t="str">
        <x:v>△□</x:v>
      </x:c>
      <x:c r="F160" s="47" t="str">
        <x:v>ᛏ↺</x:v>
      </x:c>
      <x:c r="G160" s="47" t="n">
        <x:v>30.6</x:v>
      </x:c>
      <x:c r="H160" s="47" t="n">
        <x:v>18</x:v>
      </x:c>
      <x:c r="I160" s="47" t="n">
        <x:v>8.5</x:v>
      </x:c>
      <x:c r="J160" s="47" t="n">
        <x:v>22.5</x:v>
      </x:c>
      <x:c r="K160" s="47" t="n">
        <x:v>62.6</x:v>
      </x:c>
      <x:c r="L160" s="47" t="str">
        <x:v>ASK</x:v>
      </x:c>
      <x:c r="M160" s="47" t="str">
        <x:v>△□ + ᛏ↺ + △ + ◎?</x:v>
      </x:c>
      <x:c r="N160" s="47" t="str">
        <x:v>B(Triangle former) with Mn(Redox archer): ASK in model.</x:v>
      </x:c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 t="str">
        <x:v>B</x:v>
      </x:c>
      <x:c r="B161" s="47" t="str">
        <x:v>Fe</x:v>
      </x:c>
      <x:c r="C161" s="47" t="str">
        <x:v>Triangle former</x:v>
      </x:c>
      <x:c r="D161" s="47" t="str">
        <x:v>Tank memory</x:v>
      </x:c>
      <x:c r="E161" s="47" t="str">
        <x:v>△□</x:v>
      </x:c>
      <x:c r="F161" s="47" t="str">
        <x:v>ᛉ◉</x:v>
      </x:c>
      <x:c r="G161" s="47" t="n">
        <x:v>28.4</x:v>
      </x:c>
      <x:c r="H161" s="47" t="n">
        <x:v>17</x:v>
      </x:c>
      <x:c r="I161" s="47" t="n">
        <x:v>6.5</x:v>
      </x:c>
      <x:c r="J161" s="47" t="n">
        <x:v>25.5</x:v>
      </x:c>
      <x:c r="K161" s="47" t="n">
        <x:v>64.4</x:v>
      </x:c>
      <x:c r="L161" s="47" t="str">
        <x:v>ASK</x:v>
      </x:c>
      <x:c r="M161" s="47" t="str">
        <x:v>△□ + ᛉ◉ + △ + ◎?</x:v>
      </x:c>
      <x:c r="N161" s="47" t="str">
        <x:v>B(Triangle former) with Fe(Tank memory): ASK in model.</x:v>
      </x:c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 t="str">
        <x:v>B</x:v>
      </x:c>
      <x:c r="B162" s="47" t="str">
        <x:v>Co</x:v>
      </x:c>
      <x:c r="C162" s="47" t="str">
        <x:v>Triangle former</x:v>
      </x:c>
      <x:c r="D162" s="47" t="str">
        <x:v>Magnetic bridge</x:v>
      </x:c>
      <x:c r="E162" s="47" t="str">
        <x:v>△□</x:v>
      </x:c>
      <x:c r="F162" s="47" t="str">
        <x:v>◉ᛉ</x:v>
      </x:c>
      <x:c r="G162" s="47" t="n">
        <x:v>26</x:v>
      </x:c>
      <x:c r="H162" s="47" t="n">
        <x:v>18</x:v>
      </x:c>
      <x:c r="I162" s="47" t="n">
        <x:v>6.5</x:v>
      </x:c>
      <x:c r="J162" s="47" t="n">
        <x:v>25</x:v>
      </x:c>
      <x:c r="K162" s="47" t="n">
        <x:v>62.5</x:v>
      </x:c>
      <x:c r="L162" s="47" t="str">
        <x:v>ASK</x:v>
      </x:c>
      <x:c r="M162" s="47" t="str">
        <x:v>△□ + ◉ᛉ + △ + ◎?</x:v>
      </x:c>
      <x:c r="N162" s="47" t="str">
        <x:v>B(Triangle former) with Co(Magnetic bridge): ASK in model.</x:v>
      </x:c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 t="str">
        <x:v>B</x:v>
      </x:c>
      <x:c r="B163" s="47" t="str">
        <x:v>Ni</x:v>
      </x:c>
      <x:c r="C163" s="47" t="str">
        <x:v>Triangle former</x:v>
      </x:c>
      <x:c r="D163" s="47" t="str">
        <x:v>Catalytic guard</x:v>
      </x:c>
      <x:c r="E163" s="47" t="str">
        <x:v>△□</x:v>
      </x:c>
      <x:c r="F163" s="47" t="str">
        <x:v>◎↺</x:v>
      </x:c>
      <x:c r="G163" s="47" t="n">
        <x:v>26.1</x:v>
      </x:c>
      <x:c r="H163" s="47" t="n">
        <x:v>18</x:v>
      </x:c>
      <x:c r="I163" s="47" t="n">
        <x:v>6</x:v>
      </x:c>
      <x:c r="J163" s="47" t="n">
        <x:v>26</x:v>
      </x:c>
      <x:c r="K163" s="47" t="n">
        <x:v>64.1</x:v>
      </x:c>
      <x:c r="L163" s="47" t="str">
        <x:v>ASK</x:v>
      </x:c>
      <x:c r="M163" s="47" t="str">
        <x:v>△□ + ◎↺ + △ + ◎?</x:v>
      </x:c>
      <x:c r="N163" s="47" t="str">
        <x:v>B(Triangle former) with Ni(Catalytic guard): ASK in model.</x:v>
      </x:c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 t="str">
        <x:v>B</x:v>
      </x:c>
      <x:c r="B164" s="47" t="str">
        <x:v>Cu</x:v>
      </x:c>
      <x:c r="C164" s="47" t="str">
        <x:v>Triangle former</x:v>
      </x:c>
      <x:c r="D164" s="47" t="str">
        <x:v>Conductor flow</x:v>
      </x:c>
      <x:c r="E164" s="47" t="str">
        <x:v>△□</x:v>
      </x:c>
      <x:c r="F164" s="47" t="str">
        <x:v>↺ᛏ</x:v>
      </x:c>
      <x:c r="G164" s="47" t="n">
        <x:v>27.3</x:v>
      </x:c>
      <x:c r="H164" s="47" t="n">
        <x:v>20</x:v>
      </x:c>
      <x:c r="I164" s="47" t="n">
        <x:v>5.5</x:v>
      </x:c>
      <x:c r="J164" s="47" t="n">
        <x:v>25</x:v>
      </x:c>
      <x:c r="K164" s="47" t="n">
        <x:v>66.8</x:v>
      </x:c>
      <x:c r="L164" s="47" t="str">
        <x:v>ASK</x:v>
      </x:c>
      <x:c r="M164" s="47" t="str">
        <x:v>△□ + ↺ᛏ + △ + ◎?</x:v>
      </x:c>
      <x:c r="N164" s="47" t="str">
        <x:v>B(Triangle former) with Cu(Conductor flow): ASK in model.</x:v>
      </x:c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 t="str">
        <x:v>B</x:v>
      </x:c>
      <x:c r="B165" s="47" t="str">
        <x:v>Zn</x:v>
      </x:c>
      <x:c r="C165" s="47" t="str">
        <x:v>Triangle former</x:v>
      </x:c>
      <x:c r="D165" s="47" t="str">
        <x:v>Enzyme stabilizer</x:v>
      </x:c>
      <x:c r="E165" s="47" t="str">
        <x:v>△□</x:v>
      </x:c>
      <x:c r="F165" s="47" t="str">
        <x:v>◎□</x:v>
      </x:c>
      <x:c r="G165" s="47" t="n">
        <x:v>20.2</x:v>
      </x:c>
      <x:c r="H165" s="47" t="n">
        <x:v>18</x:v>
      </x:c>
      <x:c r="I165" s="47" t="n">
        <x:v>5</x:v>
      </x:c>
      <x:c r="J165" s="47" t="n">
        <x:v>28</x:v>
      </x:c>
      <x:c r="K165" s="47" t="n">
        <x:v>61.2</x:v>
      </x:c>
      <x:c r="L165" s="47" t="str">
        <x:v>ASK</x:v>
      </x:c>
      <x:c r="M165" s="47" t="str">
        <x:v>△□ + ◎□ + △ + ◎?</x:v>
      </x:c>
      <x:c r="N165" s="47" t="str">
        <x:v>B(Triangle former) with Zn(Enzyme stabilizer): ASK in model.</x:v>
      </x:c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 t="str">
        <x:v>B</x:v>
      </x:c>
      <x:c r="B166" s="47" t="str">
        <x:v>Ga</x:v>
      </x:c>
      <x:c r="C166" s="47" t="str">
        <x:v>Triangle former</x:v>
      </x:c>
      <x:c r="D166" s="47" t="str">
        <x:v>Soft form gate</x:v>
      </x:c>
      <x:c r="E166" s="47" t="str">
        <x:v>△□</x:v>
      </x:c>
      <x:c r="F166" s="47" t="str">
        <x:v>□↺</x:v>
      </x:c>
      <x:c r="G166" s="47" t="n">
        <x:v>20.1</x:v>
      </x:c>
      <x:c r="H166" s="47" t="n">
        <x:v>19</x:v>
      </x:c>
      <x:c r="I166" s="47" t="n">
        <x:v>6</x:v>
      </x:c>
      <x:c r="J166" s="47" t="n">
        <x:v>23</x:v>
      </x:c>
      <x:c r="K166" s="47" t="n">
        <x:v>56.1</x:v>
      </x:c>
      <x:c r="L166" s="47" t="str">
        <x:v>REPAIR</x:v>
      </x:c>
      <x:c r="M166" s="47" t="str">
        <x:v>△□ + □↺ + △ + ↺</x:v>
      </x:c>
      <x:c r="N166" s="47" t="str">
        <x:v>B(Triangle former) with Ga(Soft form gate): REPAIR in model.</x:v>
      </x:c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 t="str">
        <x:v>B</x:v>
      </x:c>
      <x:c r="B167" s="47" t="str">
        <x:v>Ge</x:v>
      </x:c>
      <x:c r="C167" s="47" t="str">
        <x:v>Triangle former</x:v>
      </x:c>
      <x:c r="D167" s="47" t="str">
        <x:v>Semi lattice</x:v>
      </x:c>
      <x:c r="E167" s="47" t="str">
        <x:v>△□</x:v>
      </x:c>
      <x:c r="F167" s="47" t="str">
        <x:v>□◎</x:v>
      </x:c>
      <x:c r="G167" s="47" t="n">
        <x:v>20.2</x:v>
      </x:c>
      <x:c r="H167" s="47" t="n">
        <x:v>18</x:v>
      </x:c>
      <x:c r="I167" s="47" t="n">
        <x:v>5.5</x:v>
      </x:c>
      <x:c r="J167" s="47" t="n">
        <x:v>25.5</x:v>
      </x:c>
      <x:c r="K167" s="47" t="n">
        <x:v>58.2</x:v>
      </x:c>
      <x:c r="L167" s="47" t="str">
        <x:v>ASK</x:v>
      </x:c>
      <x:c r="M167" s="47" t="str">
        <x:v>△□ + □◎ + △ + ◎?</x:v>
      </x:c>
      <x:c r="N167" s="47" t="str">
        <x:v>B(Triangle former) with Ge(Semi lattice): ASK in model.</x:v>
      </x:c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 t="str">
        <x:v>B</x:v>
      </x:c>
      <x:c r="B168" s="47" t="str">
        <x:v>As</x:v>
      </x:c>
      <x:c r="C168" s="47" t="str">
        <x:v>Triangle former</x:v>
      </x:c>
      <x:c r="D168" s="47" t="str">
        <x:v>Shadow gate</x:v>
      </x:c>
      <x:c r="E168" s="47" t="str">
        <x:v>△□</x:v>
      </x:c>
      <x:c r="F168" s="47" t="str">
        <x:v>∅◎</x:v>
      </x:c>
      <x:c r="G168" s="47" t="n">
        <x:v>25</x:v>
      </x:c>
      <x:c r="H168" s="47" t="n">
        <x:v>18</x:v>
      </x:c>
      <x:c r="I168" s="47" t="n">
        <x:v>10.5</x:v>
      </x:c>
      <x:c r="J168" s="47" t="n">
        <x:v>20.5</x:v>
      </x:c>
      <x:c r="K168" s="47" t="n">
        <x:v>53</x:v>
      </x:c>
      <x:c r="L168" s="47" t="str">
        <x:v>REPAIR</x:v>
      </x:c>
      <x:c r="M168" s="47" t="str">
        <x:v>△□ + ∅◎ + △ + ↺</x:v>
      </x:c>
      <x:c r="N168" s="47" t="str">
        <x:v>B(Triangle former) with As(Shadow gate): REPAIR in model.</x:v>
      </x:c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 t="str">
        <x:v>B</x:v>
      </x:c>
      <x:c r="B169" s="47" t="str">
        <x:v>Se</x:v>
      </x:c>
      <x:c r="C169" s="47" t="str">
        <x:v>Triangle former</x:v>
      </x:c>
      <x:c r="D169" s="47" t="str">
        <x:v>Trace healer</x:v>
      </x:c>
      <x:c r="E169" s="47" t="str">
        <x:v>△□</x:v>
      </x:c>
      <x:c r="F169" s="47" t="str">
        <x:v>↺◉</x:v>
      </x:c>
      <x:c r="G169" s="47" t="n">
        <x:v>26.4</x:v>
      </x:c>
      <x:c r="H169" s="47" t="n">
        <x:v>18</x:v>
      </x:c>
      <x:c r="I169" s="47" t="n">
        <x:v>7</x:v>
      </x:c>
      <x:c r="J169" s="47" t="n">
        <x:v>24</x:v>
      </x:c>
      <x:c r="K169" s="47" t="n">
        <x:v>61.4</x:v>
      </x:c>
      <x:c r="L169" s="47" t="str">
        <x:v>ASK</x:v>
      </x:c>
      <x:c r="M169" s="47" t="str">
        <x:v>△□ + ↺◉ + △ + ◎?</x:v>
      </x:c>
      <x:c r="N169" s="47" t="str">
        <x:v>B(Triangle former) with Se(Trace healer): ASK in model.</x:v>
      </x:c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 t="str">
        <x:v>B</x:v>
      </x:c>
      <x:c r="B170" s="47" t="str">
        <x:v>Br</x:v>
      </x:c>
      <x:c r="C170" s="47" t="str">
        <x:v>Triangle former</x:v>
      </x:c>
      <x:c r="D170" s="47" t="str">
        <x:v>Heavy receiver</x:v>
      </x:c>
      <x:c r="E170" s="47" t="str">
        <x:v>△□</x:v>
      </x:c>
      <x:c r="F170" s="47" t="str">
        <x:v>▽∅</x:v>
      </x:c>
      <x:c r="G170" s="47" t="n">
        <x:v>37.1</x:v>
      </x:c>
      <x:c r="H170" s="47" t="n">
        <x:v>14</x:v>
      </x:c>
      <x:c r="I170" s="47" t="n">
        <x:v>8.5</x:v>
      </x:c>
      <x:c r="J170" s="47" t="n">
        <x:v>23</x:v>
      </x:c>
      <x:c r="K170" s="47" t="n">
        <x:v>65.6</x:v>
      </x:c>
      <x:c r="L170" s="47" t="str">
        <x:v>ASK</x:v>
      </x:c>
      <x:c r="M170" s="47" t="str">
        <x:v>△□ + ▽∅ + △ + ◎?</x:v>
      </x:c>
      <x:c r="N170" s="47" t="str">
        <x:v>B(Triangle former) with Br(Heavy receiver): ASK in model.</x:v>
      </x:c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 t="str">
        <x:v>B</x:v>
      </x:c>
      <x:c r="B171" s="47" t="str">
        <x:v>Kr</x:v>
      </x:c>
      <x:c r="C171" s="47" t="str">
        <x:v>Triangle former</x:v>
      </x:c>
      <x:c r="D171" s="47" t="str">
        <x:v>Closed Gate light</x:v>
      </x:c>
      <x:c r="E171" s="47" t="str">
        <x:v>△□</x:v>
      </x:c>
      <x:c r="F171" s="47" t="str">
        <x:v>◎✓</x:v>
      </x:c>
      <x:c r="G171" s="47" t="n">
        <x:v>2.4</x:v>
      </x:c>
      <x:c r="H171" s="47" t="n">
        <x:v>17</x:v>
      </x:c>
      <x:c r="I171" s="47" t="n">
        <x:v>3.5</x:v>
      </x:c>
      <x:c r="J171" s="47" t="n">
        <x:v>31</x:v>
      </x:c>
      <x:c r="K171" s="47" t="n">
        <x:v>46.9</x:v>
      </x:c>
      <x:c r="L171" s="47" t="str">
        <x:v>REPAIR</x:v>
      </x:c>
      <x:c r="M171" s="47" t="str">
        <x:v>△□ + ◎✓ + △ + ↺</x:v>
      </x:c>
      <x:c r="N171" s="47" t="str">
        <x:v>B(Triangle former) with Kr(Closed Gate light): REPAIR in model.</x:v>
      </x:c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 t="str">
        <x:v>C</x:v>
      </x:c>
      <x:c r="B172" s="47" t="str">
        <x:v>C</x:v>
      </x:c>
      <x:c r="C172" s="47" t="str">
        <x:v>Engineer grammar</x:v>
      </x:c>
      <x:c r="D172" s="47" t="str">
        <x:v>Engineer grammar</x:v>
      </x:c>
      <x:c r="E172" s="47" t="str">
        <x:v>□◉</x:v>
      </x:c>
      <x:c r="F172" s="47" t="str">
        <x:v>□◉</x:v>
      </x:c>
      <x:c r="G172" s="47" t="n">
        <x:v>20.2</x:v>
      </x:c>
      <x:c r="H172" s="47" t="n">
        <x:v>20</x:v>
      </x:c>
      <x:c r="I172" s="47" t="n">
        <x:v>4</x:v>
      </x:c>
      <x:c r="J172" s="47" t="n">
        <x:v>30</x:v>
      </x:c>
      <x:c r="K172" s="47" t="n">
        <x:v>66.2</x:v>
      </x:c>
      <x:c r="L172" s="47" t="str">
        <x:v>ASK</x:v>
      </x:c>
      <x:c r="M172" s="47" t="str">
        <x:v>□◉ + □◉ + △ + ◎?</x:v>
      </x:c>
      <x:c r="N172" s="47" t="str">
        <x:v>C(Engineer grammar) with C(Engineer grammar): ASK in model.</x:v>
      </x:c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 t="str">
        <x:v>C</x:v>
      </x:c>
      <x:c r="B173" s="47" t="str">
        <x:v>N</x:v>
      </x:c>
      <x:c r="C173" s="47" t="str">
        <x:v>Engineer grammar</x:v>
      </x:c>
      <x:c r="D173" s="47" t="str">
        <x:v>Bridge guardian</x:v>
      </x:c>
      <x:c r="E173" s="47" t="str">
        <x:v>□◉</x:v>
      </x:c>
      <x:c r="F173" s="47" t="str">
        <x:v>◎ᛉ</x:v>
      </x:c>
      <x:c r="G173" s="47" t="n">
        <x:v>25.9</x:v>
      </x:c>
      <x:c r="H173" s="47" t="n">
        <x:v>13</x:v>
      </x:c>
      <x:c r="I173" s="47" t="n">
        <x:v>4.5</x:v>
      </x:c>
      <x:c r="J173" s="47" t="n">
        <x:v>29.5</x:v>
      </x:c>
      <x:c r="K173" s="47" t="n">
        <x:v>63.9</x:v>
      </x:c>
      <x:c r="L173" s="47" t="str">
        <x:v>ASK</x:v>
      </x:c>
      <x:c r="M173" s="47" t="str">
        <x:v>□◉ + ◎ᛉ + △ + ◎?</x:v>
      </x:c>
      <x:c r="N173" s="47" t="str">
        <x:v>C(Engineer grammar) with N(Bridge guardian): ASK in model.</x:v>
      </x:c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 t="str">
        <x:v>C</x:v>
      </x:c>
      <x:c r="B174" s="47" t="str">
        <x:v>O</x:v>
      </x:c>
      <x:c r="C174" s="47" t="str">
        <x:v>Engineer grammar</x:v>
      </x:c>
      <x:c r="D174" s="47" t="str">
        <x:v>Receiver activator</x:v>
      </x:c>
      <x:c r="E174" s="47" t="str">
        <x:v>□◉</x:v>
      </x:c>
      <x:c r="F174" s="47" t="str">
        <x:v>▽△</x:v>
      </x:c>
      <x:c r="G174" s="47" t="n">
        <x:v>37.1</x:v>
      </x:c>
      <x:c r="H174" s="47" t="n">
        <x:v>9</x:v>
      </x:c>
      <x:c r="I174" s="47" t="n">
        <x:v>5.5</x:v>
      </x:c>
      <x:c r="J174" s="47" t="n">
        <x:v>28</x:v>
      </x:c>
      <x:c r="K174" s="47" t="n">
        <x:v>68.6</x:v>
      </x:c>
      <x:c r="L174" s="47" t="str">
        <x:v>ASK</x:v>
      </x:c>
      <x:c r="M174" s="47" t="str">
        <x:v>□◉ + ▽△ + △ + ◎?</x:v>
      </x:c>
      <x:c r="N174" s="47" t="str">
        <x:v>C(Engineer grammar) with O(Receiver activator): ASK in model.</x:v>
      </x:c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 t="str">
        <x:v>C</x:v>
      </x:c>
      <x:c r="B175" s="47" t="str">
        <x:v>F</x:v>
      </x:c>
      <x:c r="C175" s="47" t="str">
        <x:v>Engineer grammar</x:v>
      </x:c>
      <x:c r="D175" s="47" t="str">
        <x:v>Strong receiver</x:v>
      </x:c>
      <x:c r="E175" s="47" t="str">
        <x:v>□◉</x:v>
      </x:c>
      <x:c r="F175" s="47" t="str">
        <x:v>▽◎</x:v>
      </x:c>
      <x:c r="G175" s="47" t="n">
        <x:v>39.4</x:v>
      </x:c>
      <x:c r="H175" s="47" t="n">
        <x:v>7</x:v>
      </x:c>
      <x:c r="I175" s="47" t="n">
        <x:v>7</x:v>
      </x:c>
      <x:c r="J175" s="47" t="n">
        <x:v>27.5</x:v>
      </x:c>
      <x:c r="K175" s="47" t="n">
        <x:v>66.9</x:v>
      </x:c>
      <x:c r="L175" s="47" t="str">
        <x:v>ASK</x:v>
      </x:c>
      <x:c r="M175" s="47" t="str">
        <x:v>□◉ + ▽◎ + △ + ◎?</x:v>
      </x:c>
      <x:c r="N175" s="47" t="str">
        <x:v>C(Engineer grammar) with F(Strong receiver): ASK in model.</x:v>
      </x:c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 t="str">
        <x:v>C</x:v>
      </x:c>
      <x:c r="B176" s="47" t="str">
        <x:v>Ne</x:v>
      </x:c>
      <x:c r="C176" s="47" t="str">
        <x:v>Engineer grammar</x:v>
      </x:c>
      <x:c r="D176" s="47" t="str">
        <x:v>Closed Gate</x:v>
      </x:c>
      <x:c r="E176" s="47" t="str">
        <x:v>□◉</x:v>
      </x:c>
      <x:c r="F176" s="47" t="str">
        <x:v>◎✓</x:v>
      </x:c>
      <x:c r="G176" s="47" t="n">
        <x:v>2.3</x:v>
      </x:c>
      <x:c r="H176" s="47" t="n">
        <x:v>18</x:v>
      </x:c>
      <x:c r="I176" s="47" t="n">
        <x:v>2.5</x:v>
      </x:c>
      <x:c r="J176" s="47" t="n">
        <x:v>34.5</x:v>
      </x:c>
      <x:c r="K176" s="47" t="n">
        <x:v>52.3</x:v>
      </x:c>
      <x:c r="L176" s="47" t="str">
        <x:v>REPAIR</x:v>
      </x:c>
      <x:c r="M176" s="47" t="str">
        <x:v>□◉ + ◎✓ + △ + ↺</x:v>
      </x:c>
      <x:c r="N176" s="47" t="str">
        <x:v>C(Engineer grammar) with Ne(Closed Gate): REPAIR in model.</x:v>
      </x:c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 t="str">
        <x:v>C</x:v>
      </x:c>
      <x:c r="B177" s="47" t="str">
        <x:v>Na</x:v>
      </x:c>
      <x:c r="C177" s="47" t="str">
        <x:v>Engineer grammar</x:v>
      </x:c>
      <x:c r="D177" s="47" t="str">
        <x:v>Strong donor</x:v>
      </x:c>
      <x:c r="E177" s="47" t="str">
        <x:v>□◉</x:v>
      </x:c>
      <x:c r="F177" s="47" t="str">
        <x:v>△ᛏ</x:v>
      </x:c>
      <x:c r="G177" s="47" t="n">
        <x:v>22.5</x:v>
      </x:c>
      <x:c r="H177" s="47" t="n">
        <x:v>6</x:v>
      </x:c>
      <x:c r="I177" s="47" t="n">
        <x:v>7.5</x:v>
      </x:c>
      <x:c r="J177" s="47" t="n">
        <x:v>21</x:v>
      </x:c>
      <x:c r="K177" s="47" t="n">
        <x:v>42</x:v>
      </x:c>
      <x:c r="L177" s="47" t="str">
        <x:v>REPAIR</x:v>
      </x:c>
      <x:c r="M177" s="47" t="str">
        <x:v>□◉ + △ᛏ + △ + ↺</x:v>
      </x:c>
      <x:c r="N177" s="47" t="str">
        <x:v>C(Engineer grammar) with Na(Strong donor): REPAIR in model.</x:v>
      </x:c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 t="str">
        <x:v>C</x:v>
      </x:c>
      <x:c r="B178" s="47" t="str">
        <x:v>Mg</x:v>
      </x:c>
      <x:c r="C178" s="47" t="str">
        <x:v>Engineer grammar</x:v>
      </x:c>
      <x:c r="D178" s="47" t="str">
        <x:v>Structure donor</x:v>
      </x:c>
      <x:c r="E178" s="47" t="str">
        <x:v>□◉</x:v>
      </x:c>
      <x:c r="F178" s="47" t="str">
        <x:v>□△</x:v>
      </x:c>
      <x:c r="G178" s="47" t="n">
        <x:v>19.1</x:v>
      </x:c>
      <x:c r="H178" s="47" t="n">
        <x:v>14</x:v>
      </x:c>
      <x:c r="I178" s="47" t="n">
        <x:v>5.5</x:v>
      </x:c>
      <x:c r="J178" s="47" t="n">
        <x:v>25.5</x:v>
      </x:c>
      <x:c r="K178" s="47" t="n">
        <x:v>53.1</x:v>
      </x:c>
      <x:c r="L178" s="47" t="str">
        <x:v>REPAIR</x:v>
      </x:c>
      <x:c r="M178" s="47" t="str">
        <x:v>□◉ + □△ + △ + ↺</x:v>
      </x:c>
      <x:c r="N178" s="47" t="str">
        <x:v>C(Engineer grammar) with Mg(Structure donor): REPAIR in model.</x:v>
      </x:c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 t="str">
        <x:v>C</x:v>
      </x:c>
      <x:c r="B179" s="47" t="str">
        <x:v>Al</x:v>
      </x:c>
      <x:c r="C179" s="47" t="str">
        <x:v>Engineer grammar</x:v>
      </x:c>
      <x:c r="D179" s="47" t="str">
        <x:v>Form builder</x:v>
      </x:c>
      <x:c r="E179" s="47" t="str">
        <x:v>□◉</x:v>
      </x:c>
      <x:c r="F179" s="47" t="str">
        <x:v>□◎</x:v>
      </x:c>
      <x:c r="G179" s="47" t="n">
        <x:v>20.2</x:v>
      </x:c>
      <x:c r="H179" s="47" t="n">
        <x:v>16</x:v>
      </x:c>
      <x:c r="I179" s="47" t="n">
        <x:v>4.5</x:v>
      </x:c>
      <x:c r="J179" s="47" t="n">
        <x:v>27.5</x:v>
      </x:c>
      <x:c r="K179" s="47" t="n">
        <x:v>59.2</x:v>
      </x:c>
      <x:c r="L179" s="47" t="str">
        <x:v>ASK</x:v>
      </x:c>
      <x:c r="M179" s="47" t="str">
        <x:v>□◉ + □◎ + △ + ◎?</x:v>
      </x:c>
      <x:c r="N179" s="47" t="str">
        <x:v>C(Engineer grammar) with Al(Form builder): ASK in model.</x:v>
      </x:c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 t="str">
        <x:v>C</x:v>
      </x:c>
      <x:c r="B180" s="47" t="str">
        <x:v>Si</x:v>
      </x:c>
      <x:c r="C180" s="47" t="str">
        <x:v>Engineer grammar</x:v>
      </x:c>
      <x:c r="D180" s="47" t="str">
        <x:v>Lattice engineer</x:v>
      </x:c>
      <x:c r="E180" s="47" t="str">
        <x:v>□◉</x:v>
      </x:c>
      <x:c r="F180" s="47" t="str">
        <x:v>□◉</x:v>
      </x:c>
      <x:c r="G180" s="47" t="n">
        <x:v>19.1</x:v>
      </x:c>
      <x:c r="H180" s="47" t="n">
        <x:v>19</x:v>
      </x:c>
      <x:c r="I180" s="47" t="n">
        <x:v>4</x:v>
      </x:c>
      <x:c r="J180" s="47" t="n">
        <x:v>30</x:v>
      </x:c>
      <x:c r="K180" s="47" t="n">
        <x:v>64.1</x:v>
      </x:c>
      <x:c r="L180" s="47" t="str">
        <x:v>ASK</x:v>
      </x:c>
      <x:c r="M180" s="47" t="str">
        <x:v>□◉ + □◉ + △ + ◎?</x:v>
      </x:c>
      <x:c r="N180" s="47" t="str">
        <x:v>C(Engineer grammar) with Si(Lattice engineer): ASK in model.</x:v>
      </x:c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 t="str">
        <x:v>C</x:v>
      </x:c>
      <x:c r="B181" s="47" t="str">
        <x:v>P</x:v>
      </x:c>
      <x:c r="C181" s="47" t="str">
        <x:v>Engineer grammar</x:v>
      </x:c>
      <x:c r="D181" s="47" t="str">
        <x:v>Energy memory</x:v>
      </x:c>
      <x:c r="E181" s="47" t="str">
        <x:v>□◉</x:v>
      </x:c>
      <x:c r="F181" s="47" t="str">
        <x:v>◉△</x:v>
      </x:c>
      <x:c r="G181" s="47" t="n">
        <x:v>29.3</x:v>
      </x:c>
      <x:c r="H181" s="47" t="n">
        <x:v>12</x:v>
      </x:c>
      <x:c r="I181" s="47" t="n">
        <x:v>6</x:v>
      </x:c>
      <x:c r="J181" s="47" t="n">
        <x:v>27.5</x:v>
      </x:c>
      <x:c r="K181" s="47" t="n">
        <x:v>62.8</x:v>
      </x:c>
      <x:c r="L181" s="47" t="str">
        <x:v>ASK</x:v>
      </x:c>
      <x:c r="M181" s="47" t="str">
        <x:v>□◉ + ◉△ + △ + ◎?</x:v>
      </x:c>
      <x:c r="N181" s="47" t="str">
        <x:v>C(Engineer grammar) with P(Energy memory): ASK in model.</x:v>
      </x:c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 t="str">
        <x:v>C</x:v>
      </x:c>
      <x:c r="B182" s="47" t="str">
        <x:v>S</x:v>
      </x:c>
      <x:c r="C182" s="47" t="str">
        <x:v>Engineer grammar</x:v>
      </x:c>
      <x:c r="D182" s="47" t="str">
        <x:v>Connector phase</x:v>
      </x:c>
      <x:c r="E182" s="47" t="str">
        <x:v>□◉</x:v>
      </x:c>
      <x:c r="F182" s="47" t="str">
        <x:v>↺▽</x:v>
      </x:c>
      <x:c r="G182" s="47" t="n">
        <x:v>28.1</x:v>
      </x:c>
      <x:c r="H182" s="47" t="n">
        <x:v>13</x:v>
      </x:c>
      <x:c r="I182" s="47" t="n">
        <x:v>5.5</x:v>
      </x:c>
      <x:c r="J182" s="47" t="n">
        <x:v>27</x:v>
      </x:c>
      <x:c r="K182" s="47" t="n">
        <x:v>62.6</x:v>
      </x:c>
      <x:c r="L182" s="47" t="str">
        <x:v>ASK</x:v>
      </x:c>
      <x:c r="M182" s="47" t="str">
        <x:v>□◉ + ↺▽ + △ + ◎?</x:v>
      </x:c>
      <x:c r="N182" s="47" t="str">
        <x:v>C(Engineer grammar) with S(Connector phase): ASK in model.</x:v>
      </x:c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 t="str">
        <x:v>C</x:v>
      </x:c>
      <x:c r="B183" s="47" t="str">
        <x:v>Cl</x:v>
      </x:c>
      <x:c r="C183" s="47" t="str">
        <x:v>Engineer grammar</x:v>
      </x:c>
      <x:c r="D183" s="47" t="str">
        <x:v>Receiver closure</x:v>
      </x:c>
      <x:c r="E183" s="47" t="str">
        <x:v>□◉</x:v>
      </x:c>
      <x:c r="F183" s="47" t="str">
        <x:v>▽◎</x:v>
      </x:c>
      <x:c r="G183" s="47" t="n">
        <x:v>37.1</x:v>
      </x:c>
      <x:c r="H183" s="47" t="n">
        <x:v>8</x:v>
      </x:c>
      <x:c r="I183" s="47" t="n">
        <x:v>6.5</x:v>
      </x:c>
      <x:c r="J183" s="47" t="n">
        <x:v>28</x:v>
      </x:c>
      <x:c r="K183" s="47" t="n">
        <x:v>66.6</x:v>
      </x:c>
      <x:c r="L183" s="47" t="str">
        <x:v>ASK</x:v>
      </x:c>
      <x:c r="M183" s="47" t="str">
        <x:v>□◉ + ▽◎ + △ + ◎?</x:v>
      </x:c>
      <x:c r="N183" s="47" t="str">
        <x:v>C(Engineer grammar) with Cl(Receiver closure): ASK in model.</x:v>
      </x:c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 t="str">
        <x:v>C</x:v>
      </x:c>
      <x:c r="B184" s="47" t="str">
        <x:v>Ar</x:v>
      </x:c>
      <x:c r="C184" s="47" t="str">
        <x:v>Engineer grammar</x:v>
      </x:c>
      <x:c r="D184" s="47" t="str">
        <x:v>Closed Gate</x:v>
      </x:c>
      <x:c r="E184" s="47" t="str">
        <x:v>□◉</x:v>
      </x:c>
      <x:c r="F184" s="47" t="str">
        <x:v>◎✓</x:v>
      </x:c>
      <x:c r="G184" s="47" t="n">
        <x:v>2.3</x:v>
      </x:c>
      <x:c r="H184" s="47" t="n">
        <x:v>18</x:v>
      </x:c>
      <x:c r="I184" s="47" t="n">
        <x:v>2.5</x:v>
      </x:c>
      <x:c r="J184" s="47" t="n">
        <x:v>34.5</x:v>
      </x:c>
      <x:c r="K184" s="47" t="n">
        <x:v>52.3</x:v>
      </x:c>
      <x:c r="L184" s="47" t="str">
        <x:v>REPAIR</x:v>
      </x:c>
      <x:c r="M184" s="47" t="str">
        <x:v>□◉ + ◎✓ + △ + ↺</x:v>
      </x:c>
      <x:c r="N184" s="47" t="str">
        <x:v>C(Engineer grammar) with Ar(Closed Gate): REPAIR in model.</x:v>
      </x:c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 t="str">
        <x:v>C</x:v>
      </x:c>
      <x:c r="B185" s="47" t="str">
        <x:v>K</x:v>
      </x:c>
      <x:c r="C185" s="47" t="str">
        <x:v>Engineer grammar</x:v>
      </x:c>
      <x:c r="D185" s="47" t="str">
        <x:v>Heavy opener</x:v>
      </x:c>
      <x:c r="E185" s="47" t="str">
        <x:v>□◉</x:v>
      </x:c>
      <x:c r="F185" s="47" t="str">
        <x:v>△ᛏ</x:v>
      </x:c>
      <x:c r="G185" s="47" t="n">
        <x:v>23.6</x:v>
      </x:c>
      <x:c r="H185" s="47" t="n">
        <x:v>6</x:v>
      </x:c>
      <x:c r="I185" s="47" t="n">
        <x:v>8.5</x:v>
      </x:c>
      <x:c r="J185" s="47" t="n">
        <x:v>20</x:v>
      </x:c>
      <x:c r="K185" s="47" t="n">
        <x:v>41.1</x:v>
      </x:c>
      <x:c r="L185" s="47" t="str">
        <x:v>HOLD</x:v>
      </x:c>
      <x:c r="M185" s="47" t="str">
        <x:v>□◉ + △ᛏ + △ + HOLD</x:v>
      </x:c>
      <x:c r="N185" s="47" t="str">
        <x:v>C(Engineer grammar) with K(Heavy opener): HOLD in model.</x:v>
      </x:c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 t="str">
        <x:v>C</x:v>
      </x:c>
      <x:c r="B186" s="47" t="str">
        <x:v>Ca</x:v>
      </x:c>
      <x:c r="C186" s="47" t="str">
        <x:v>Engineer grammar</x:v>
      </x:c>
      <x:c r="D186" s="47" t="str">
        <x:v>Tank structure</x:v>
      </x:c>
      <x:c r="E186" s="47" t="str">
        <x:v>□◉</x:v>
      </x:c>
      <x:c r="F186" s="47" t="str">
        <x:v>ᛉ□</x:v>
      </x:c>
      <x:c r="G186" s="47" t="n">
        <x:v>19.1</x:v>
      </x:c>
      <x:c r="H186" s="47" t="n">
        <x:v>16</x:v>
      </x:c>
      <x:c r="I186" s="47" t="n">
        <x:v>5</x:v>
      </x:c>
      <x:c r="J186" s="47" t="n">
        <x:v>27.5</x:v>
      </x:c>
      <x:c r="K186" s="47" t="n">
        <x:v>57.6</x:v>
      </x:c>
      <x:c r="L186" s="47" t="str">
        <x:v>REPAIR</x:v>
      </x:c>
      <x:c r="M186" s="47" t="str">
        <x:v>□◉ + ᛉ□ + △ + ↺</x:v>
      </x:c>
      <x:c r="N186" s="47" t="str">
        <x:v>C(Engineer grammar) with Ca(Tank structure): REPAIR in model.</x:v>
      </x:c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 t="str">
        <x:v>C</x:v>
      </x:c>
      <x:c r="B187" s="47" t="str">
        <x:v>Sc</x:v>
      </x:c>
      <x:c r="C187" s="47" t="str">
        <x:v>Engineer grammar</x:v>
      </x:c>
      <x:c r="D187" s="47" t="str">
        <x:v>Transition bridge</x:v>
      </x:c>
      <x:c r="E187" s="47" t="str">
        <x:v>□◉</x:v>
      </x:c>
      <x:c r="F187" s="47" t="str">
        <x:v>↺□</x:v>
      </x:c>
      <x:c r="G187" s="47" t="n">
        <x:v>20.2</x:v>
      </x:c>
      <x:c r="H187" s="47" t="n">
        <x:v>15</x:v>
      </x:c>
      <x:c r="I187" s="47" t="n">
        <x:v>5</x:v>
      </x:c>
      <x:c r="J187" s="47" t="n">
        <x:v>27</x:v>
      </x:c>
      <x:c r="K187" s="47" t="n">
        <x:v>57.2</x:v>
      </x:c>
      <x:c r="L187" s="47" t="str">
        <x:v>REPAIR</x:v>
      </x:c>
      <x:c r="M187" s="47" t="str">
        <x:v>□◉ + ↺□ + △ + ↺</x:v>
      </x:c>
      <x:c r="N187" s="47" t="str">
        <x:v>C(Engineer grammar) with Sc(Transition bridge): REPAIR in model.</x:v>
      </x:c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 t="str">
        <x:v>C</x:v>
      </x:c>
      <x:c r="B188" s="47" t="str">
        <x:v>Ti</x:v>
      </x:c>
      <x:c r="C188" s="47" t="str">
        <x:v>Engineer grammar</x:v>
      </x:c>
      <x:c r="D188" s="47" t="str">
        <x:v>Strong structure</x:v>
      </x:c>
      <x:c r="E188" s="47" t="str">
        <x:v>□◉</x:v>
      </x:c>
      <x:c r="F188" s="47" t="str">
        <x:v>ᛉ□</x:v>
      </x:c>
      <x:c r="G188" s="47" t="n">
        <x:v>20.2</x:v>
      </x:c>
      <x:c r="H188" s="47" t="n">
        <x:v>18</x:v>
      </x:c>
      <x:c r="I188" s="47" t="n">
        <x:v>4</x:v>
      </x:c>
      <x:c r="J188" s="47" t="n">
        <x:v>30</x:v>
      </x:c>
      <x:c r="K188" s="47" t="n">
        <x:v>64.2</x:v>
      </x:c>
      <x:c r="L188" s="47" t="str">
        <x:v>ASK</x:v>
      </x:c>
      <x:c r="M188" s="47" t="str">
        <x:v>□◉ + ᛉ□ + △ + ◎?</x:v>
      </x:c>
      <x:c r="N188" s="47" t="str">
        <x:v>C(Engineer grammar) with Ti(Strong structure): ASK in model.</x:v>
      </x:c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 t="str">
        <x:v>C</x:v>
      </x:c>
      <x:c r="B189" s="47" t="str">
        <x:v>V</x:v>
      </x:c>
      <x:c r="C189" s="47" t="str">
        <x:v>Engineer grammar</x:v>
      </x:c>
      <x:c r="D189" s="47" t="str">
        <x:v>Multi-state gate</x:v>
      </x:c>
      <x:c r="E189" s="47" t="str">
        <x:v>□◉</x:v>
      </x:c>
      <x:c r="F189" s="47" t="str">
        <x:v>◎↺</x:v>
      </x:c>
      <x:c r="G189" s="47" t="n">
        <x:v>24.8</x:v>
      </x:c>
      <x:c r="H189" s="47" t="n">
        <x:v>15</x:v>
      </x:c>
      <x:c r="I189" s="47" t="n">
        <x:v>6.5</x:v>
      </x:c>
      <x:c r="J189" s="47" t="n">
        <x:v>27.5</x:v>
      </x:c>
      <x:c r="K189" s="47" t="n">
        <x:v>60.8</x:v>
      </x:c>
      <x:c r="L189" s="47" t="str">
        <x:v>ASK</x:v>
      </x:c>
      <x:c r="M189" s="47" t="str">
        <x:v>□◉ + ◎↺ + △ + ◎?</x:v>
      </x:c>
      <x:c r="N189" s="47" t="str">
        <x:v>C(Engineer grammar) with V(Multi-state gate): ASK in model.</x:v>
      </x:c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 t="str">
        <x:v>C</x:v>
      </x:c>
      <x:c r="B190" s="47" t="str">
        <x:v>Cr</x:v>
      </x:c>
      <x:c r="C190" s="47" t="str">
        <x:v>Engineer grammar</x:v>
      </x:c>
      <x:c r="D190" s="47" t="str">
        <x:v>Surface guardian</x:v>
      </x:c>
      <x:c r="E190" s="47" t="str">
        <x:v>□◉</x:v>
      </x:c>
      <x:c r="F190" s="47" t="str">
        <x:v>ᛉ◎</x:v>
      </x:c>
      <x:c r="G190" s="47" t="n">
        <x:v>23.6</x:v>
      </x:c>
      <x:c r="H190" s="47" t="n">
        <x:v>17</x:v>
      </x:c>
      <x:c r="I190" s="47" t="n">
        <x:v>5.5</x:v>
      </x:c>
      <x:c r="J190" s="47" t="n">
        <x:v>30</x:v>
      </x:c>
      <x:c r="K190" s="47" t="n">
        <x:v>65.1</x:v>
      </x:c>
      <x:c r="L190" s="47" t="str">
        <x:v>ASK</x:v>
      </x:c>
      <x:c r="M190" s="47" t="str">
        <x:v>□◉ + ᛉ◎ + △ + ◎?</x:v>
      </x:c>
      <x:c r="N190" s="47" t="str">
        <x:v>C(Engineer grammar) with Cr(Surface guardian): ASK in model.</x:v>
      </x:c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 t="str">
        <x:v>C</x:v>
      </x:c>
      <x:c r="B191" s="47" t="str">
        <x:v>Mn</x:v>
      </x:c>
      <x:c r="C191" s="47" t="str">
        <x:v>Engineer grammar</x:v>
      </x:c>
      <x:c r="D191" s="47" t="str">
        <x:v>Redox archer</x:v>
      </x:c>
      <x:c r="E191" s="47" t="str">
        <x:v>□◉</x:v>
      </x:c>
      <x:c r="F191" s="47" t="str">
        <x:v>ᛏ↺</x:v>
      </x:c>
      <x:c r="G191" s="47" t="n">
        <x:v>29.3</x:v>
      </x:c>
      <x:c r="H191" s="47" t="n">
        <x:v>13</x:v>
      </x:c>
      <x:c r="I191" s="47" t="n">
        <x:v>7.5</x:v>
      </x:c>
      <x:c r="J191" s="47" t="n">
        <x:v>26</x:v>
      </x:c>
      <x:c r="K191" s="47" t="n">
        <x:v>60.8</x:v>
      </x:c>
      <x:c r="L191" s="47" t="str">
        <x:v>ASK</x:v>
      </x:c>
      <x:c r="M191" s="47" t="str">
        <x:v>□◉ + ᛏ↺ + △ + ◎?</x:v>
      </x:c>
      <x:c r="N191" s="47" t="str">
        <x:v>C(Engineer grammar) with Mn(Redox archer): ASK in model.</x:v>
      </x:c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 t="str">
        <x:v>C</x:v>
      </x:c>
      <x:c r="B192" s="47" t="str">
        <x:v>Fe</x:v>
      </x:c>
      <x:c r="C192" s="47" t="str">
        <x:v>Engineer grammar</x:v>
      </x:c>
      <x:c r="D192" s="47" t="str">
        <x:v>Tank memory</x:v>
      </x:c>
      <x:c r="E192" s="47" t="str">
        <x:v>□◉</x:v>
      </x:c>
      <x:c r="F192" s="47" t="str">
        <x:v>ᛉ◉</x:v>
      </x:c>
      <x:c r="G192" s="47" t="n">
        <x:v>27</x:v>
      </x:c>
      <x:c r="H192" s="47" t="n">
        <x:v>18</x:v>
      </x:c>
      <x:c r="I192" s="47" t="n">
        <x:v>5.5</x:v>
      </x:c>
      <x:c r="J192" s="47" t="n">
        <x:v>29</x:v>
      </x:c>
      <x:c r="K192" s="47" t="n">
        <x:v>68.5</x:v>
      </x:c>
      <x:c r="L192" s="47" t="str">
        <x:v>ASK</x:v>
      </x:c>
      <x:c r="M192" s="47" t="str">
        <x:v>□◉ + ᛉ◉ + △ + ◎?</x:v>
      </x:c>
      <x:c r="N192" s="47" t="str">
        <x:v>C(Engineer grammar) with Fe(Tank memory): ASK in model.</x:v>
      </x:c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 t="str">
        <x:v>C</x:v>
      </x:c>
      <x:c r="B193" s="47" t="str">
        <x:v>Co</x:v>
      </x:c>
      <x:c r="C193" s="47" t="str">
        <x:v>Engineer grammar</x:v>
      </x:c>
      <x:c r="D193" s="47" t="str">
        <x:v>Magnetic bridge</x:v>
      </x:c>
      <x:c r="E193" s="47" t="str">
        <x:v>□◉</x:v>
      </x:c>
      <x:c r="F193" s="47" t="str">
        <x:v>◉ᛉ</x:v>
      </x:c>
      <x:c r="G193" s="47" t="n">
        <x:v>24.8</x:v>
      </x:c>
      <x:c r="H193" s="47" t="n">
        <x:v>17</x:v>
      </x:c>
      <x:c r="I193" s="47" t="n">
        <x:v>5.5</x:v>
      </x:c>
      <x:c r="J193" s="47" t="n">
        <x:v>28.5</x:v>
      </x:c>
      <x:c r="K193" s="47" t="n">
        <x:v>64.8</x:v>
      </x:c>
      <x:c r="L193" s="47" t="str">
        <x:v>ASK</x:v>
      </x:c>
      <x:c r="M193" s="47" t="str">
        <x:v>□◉ + ◉ᛉ + △ + ◎?</x:v>
      </x:c>
      <x:c r="N193" s="47" t="str">
        <x:v>C(Engineer grammar) with Co(Magnetic bridge): ASK in model.</x:v>
      </x:c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 t="str">
        <x:v>C</x:v>
      </x:c>
      <x:c r="B194" s="47" t="str">
        <x:v>Ni</x:v>
      </x:c>
      <x:c r="C194" s="47" t="str">
        <x:v>Engineer grammar</x:v>
      </x:c>
      <x:c r="D194" s="47" t="str">
        <x:v>Catalytic guard</x:v>
      </x:c>
      <x:c r="E194" s="47" t="str">
        <x:v>□◉</x:v>
      </x:c>
      <x:c r="F194" s="47" t="str">
        <x:v>◎↺</x:v>
      </x:c>
      <x:c r="G194" s="47" t="n">
        <x:v>24.8</x:v>
      </x:c>
      <x:c r="H194" s="47" t="n">
        <x:v>17</x:v>
      </x:c>
      <x:c r="I194" s="47" t="n">
        <x:v>5</x:v>
      </x:c>
      <x:c r="J194" s="47" t="n">
        <x:v>29.5</x:v>
      </x:c>
      <x:c r="K194" s="47" t="n">
        <x:v>66.3</x:v>
      </x:c>
      <x:c r="L194" s="47" t="str">
        <x:v>ASK</x:v>
      </x:c>
      <x:c r="M194" s="47" t="str">
        <x:v>□◉ + ◎↺ + △ + ◎?</x:v>
      </x:c>
      <x:c r="N194" s="47" t="str">
        <x:v>C(Engineer grammar) with Ni(Catalytic guard): ASK in model.</x:v>
      </x:c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 t="str">
        <x:v>C</x:v>
      </x:c>
      <x:c r="B195" s="47" t="str">
        <x:v>Cu</x:v>
      </x:c>
      <x:c r="C195" s="47" t="str">
        <x:v>Engineer grammar</x:v>
      </x:c>
      <x:c r="D195" s="47" t="str">
        <x:v>Conductor flow</x:v>
      </x:c>
      <x:c r="E195" s="47" t="str">
        <x:v>□◉</x:v>
      </x:c>
      <x:c r="F195" s="47" t="str">
        <x:v>↺ᛏ</x:v>
      </x:c>
      <x:c r="G195" s="47" t="n">
        <x:v>25.9</x:v>
      </x:c>
      <x:c r="H195" s="47" t="n">
        <x:v>15</x:v>
      </x:c>
      <x:c r="I195" s="47" t="n">
        <x:v>4.5</x:v>
      </x:c>
      <x:c r="J195" s="47" t="n">
        <x:v>28.5</x:v>
      </x:c>
      <x:c r="K195" s="47" t="n">
        <x:v>64.9</x:v>
      </x:c>
      <x:c r="L195" s="47" t="str">
        <x:v>ASK</x:v>
      </x:c>
      <x:c r="M195" s="47" t="str">
        <x:v>□◉ + ↺ᛏ + △ + ◎?</x:v>
      </x:c>
      <x:c r="N195" s="47" t="str">
        <x:v>C(Engineer grammar) with Cu(Conductor flow): ASK in model.</x:v>
      </x:c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 t="str">
        <x:v>C</x:v>
      </x:c>
      <x:c r="B196" s="47" t="str">
        <x:v>Zn</x:v>
      </x:c>
      <x:c r="C196" s="47" t="str">
        <x:v>Engineer grammar</x:v>
      </x:c>
      <x:c r="D196" s="47" t="str">
        <x:v>Enzyme stabilizer</x:v>
      </x:c>
      <x:c r="E196" s="47" t="str">
        <x:v>□◉</x:v>
      </x:c>
      <x:c r="F196" s="47" t="str">
        <x:v>◎□</x:v>
      </x:c>
      <x:c r="G196" s="47" t="n">
        <x:v>19.1</x:v>
      </x:c>
      <x:c r="H196" s="47" t="n">
        <x:v>17</x:v>
      </x:c>
      <x:c r="I196" s="47" t="n">
        <x:v>4</x:v>
      </x:c>
      <x:c r="J196" s="47" t="n">
        <x:v>31.5</x:v>
      </x:c>
      <x:c r="K196" s="47" t="n">
        <x:v>63.6</x:v>
      </x:c>
      <x:c r="L196" s="47" t="str">
        <x:v>ASK</x:v>
      </x:c>
      <x:c r="M196" s="47" t="str">
        <x:v>□◉ + ◎□ + △ + ◎?</x:v>
      </x:c>
      <x:c r="N196" s="47" t="str">
        <x:v>C(Engineer grammar) with Zn(Enzyme stabilizer): ASK in model.</x:v>
      </x:c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 t="str">
        <x:v>C</x:v>
      </x:c>
      <x:c r="B197" s="47" t="str">
        <x:v>Ga</x:v>
      </x:c>
      <x:c r="C197" s="47" t="str">
        <x:v>Engineer grammar</x:v>
      </x:c>
      <x:c r="D197" s="47" t="str">
        <x:v>Soft form gate</x:v>
      </x:c>
      <x:c r="E197" s="47" t="str">
        <x:v>□◉</x:v>
      </x:c>
      <x:c r="F197" s="47" t="str">
        <x:v>□↺</x:v>
      </x:c>
      <x:c r="G197" s="47" t="n">
        <x:v>19.1</x:v>
      </x:c>
      <x:c r="H197" s="47" t="n">
        <x:v>14</x:v>
      </x:c>
      <x:c r="I197" s="47" t="n">
        <x:v>5</x:v>
      </x:c>
      <x:c r="J197" s="47" t="n">
        <x:v>26.5</x:v>
      </x:c>
      <x:c r="K197" s="47" t="n">
        <x:v>54.6</x:v>
      </x:c>
      <x:c r="L197" s="47" t="str">
        <x:v>REPAIR</x:v>
      </x:c>
      <x:c r="M197" s="47" t="str">
        <x:v>□◉ + □↺ + △ + ↺</x:v>
      </x:c>
      <x:c r="N197" s="47" t="str">
        <x:v>C(Engineer grammar) with Ga(Soft form gate): REPAIR in model.</x:v>
      </x:c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 t="str">
        <x:v>C</x:v>
      </x:c>
      <x:c r="B198" s="47" t="str">
        <x:v>Ge</x:v>
      </x:c>
      <x:c r="C198" s="47" t="str">
        <x:v>Engineer grammar</x:v>
      </x:c>
      <x:c r="D198" s="47" t="str">
        <x:v>Semi lattice</x:v>
      </x:c>
      <x:c r="E198" s="47" t="str">
        <x:v>□◉</x:v>
      </x:c>
      <x:c r="F198" s="47" t="str">
        <x:v>□◎</x:v>
      </x:c>
      <x:c r="G198" s="47" t="n">
        <x:v>19.1</x:v>
      </x:c>
      <x:c r="H198" s="47" t="n">
        <x:v>17</x:v>
      </x:c>
      <x:c r="I198" s="47" t="n">
        <x:v>4.5</x:v>
      </x:c>
      <x:c r="J198" s="47" t="n">
        <x:v>29</x:v>
      </x:c>
      <x:c r="K198" s="47" t="n">
        <x:v>60.6</x:v>
      </x:c>
      <x:c r="L198" s="47" t="str">
        <x:v>ASK</x:v>
      </x:c>
      <x:c r="M198" s="47" t="str">
        <x:v>□◉ + □◎ + △ + ◎?</x:v>
      </x:c>
      <x:c r="N198" s="47" t="str">
        <x:v>C(Engineer grammar) with Ge(Semi lattice): ASK in model.</x:v>
      </x:c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 t="str">
        <x:v>C</x:v>
      </x:c>
      <x:c r="B199" s="47" t="str">
        <x:v>As</x:v>
      </x:c>
      <x:c r="C199" s="47" t="str">
        <x:v>Engineer grammar</x:v>
      </x:c>
      <x:c r="D199" s="47" t="str">
        <x:v>Shadow gate</x:v>
      </x:c>
      <x:c r="E199" s="47" t="str">
        <x:v>□◉</x:v>
      </x:c>
      <x:c r="F199" s="47" t="str">
        <x:v>∅◎</x:v>
      </x:c>
      <x:c r="G199" s="47" t="n">
        <x:v>23.6</x:v>
      </x:c>
      <x:c r="H199" s="47" t="n">
        <x:v>13</x:v>
      </x:c>
      <x:c r="I199" s="47" t="n">
        <x:v>9.5</x:v>
      </x:c>
      <x:c r="J199" s="47" t="n">
        <x:v>24</x:v>
      </x:c>
      <x:c r="K199" s="47" t="n">
        <x:v>51.1</x:v>
      </x:c>
      <x:c r="L199" s="47" t="str">
        <x:v>REPAIR</x:v>
      </x:c>
      <x:c r="M199" s="47" t="str">
        <x:v>□◉ + ∅◎ + △ + ↺</x:v>
      </x:c>
      <x:c r="N199" s="47" t="str">
        <x:v>C(Engineer grammar) with As(Shadow gate): REPAIR in model.</x:v>
      </x:c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 t="str">
        <x:v>C</x:v>
      </x:c>
      <x:c r="B200" s="47" t="str">
        <x:v>Se</x:v>
      </x:c>
      <x:c r="C200" s="47" t="str">
        <x:v>Engineer grammar</x:v>
      </x:c>
      <x:c r="D200" s="47" t="str">
        <x:v>Trace healer</x:v>
      </x:c>
      <x:c r="E200" s="47" t="str">
        <x:v>□◉</x:v>
      </x:c>
      <x:c r="F200" s="47" t="str">
        <x:v>↺◉</x:v>
      </x:c>
      <x:c r="G200" s="47" t="n">
        <x:v>24.8</x:v>
      </x:c>
      <x:c r="H200" s="47" t="n">
        <x:v>13</x:v>
      </x:c>
      <x:c r="I200" s="47" t="n">
        <x:v>6</x:v>
      </x:c>
      <x:c r="J200" s="47" t="n">
        <x:v>27.5</x:v>
      </x:c>
      <x:c r="K200" s="47" t="n">
        <x:v>59.3</x:v>
      </x:c>
      <x:c r="L200" s="47" t="str">
        <x:v>ASK</x:v>
      </x:c>
      <x:c r="M200" s="47" t="str">
        <x:v>□◉ + ↺◉ + △ + ◎?</x:v>
      </x:c>
      <x:c r="N200" s="47" t="str">
        <x:v>C(Engineer grammar) with Se(Trace healer): ASK in model.</x:v>
      </x:c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  <x:row r="201">
      <x:c r="A201" t="str">
        <x:v>C</x:v>
      </x:c>
      <x:c r="B201" t="str">
        <x:v>Br</x:v>
      </x:c>
      <x:c r="C201" t="str">
        <x:v>Engineer grammar</x:v>
      </x:c>
      <x:c r="D201" t="str">
        <x:v>Heavy receiver</x:v>
      </x:c>
      <x:c r="E201" t="str">
        <x:v>□◉</x:v>
      </x:c>
      <x:c r="F201" t="str">
        <x:v>▽∅</x:v>
      </x:c>
      <x:c r="G201" t="n">
        <x:v>34.9</x:v>
      </x:c>
      <x:c r="H201" t="n">
        <x:v>9</x:v>
      </x:c>
      <x:c r="I201" t="n">
        <x:v>7.5</x:v>
      </x:c>
      <x:c r="J201" t="n">
        <x:v>26.5</x:v>
      </x:c>
      <x:c r="K201" t="n">
        <x:v>62.9</x:v>
      </x:c>
      <x:c r="L201" t="str">
        <x:v>ASK</x:v>
      </x:c>
      <x:c r="M201" t="str">
        <x:v>□◉ + ▽∅ + △ + ◎?</x:v>
      </x:c>
      <x:c r="N201" t="str">
        <x:v>C(Engineer grammar) with Br(Heavy receiver): ASK in model.</x:v>
      </x:c>
    </x:row>
    <x:row r="202">
      <x:c r="A202" t="str">
        <x:v>C</x:v>
      </x:c>
      <x:c r="B202" t="str">
        <x:v>Kr</x:v>
      </x:c>
      <x:c r="C202" t="str">
        <x:v>Engineer grammar</x:v>
      </x:c>
      <x:c r="D202" t="str">
        <x:v>Closed Gate light</x:v>
      </x:c>
      <x:c r="E202" t="str">
        <x:v>□◉</x:v>
      </x:c>
      <x:c r="F202" t="str">
        <x:v>◎✓</x:v>
      </x:c>
      <x:c r="G202" t="n">
        <x:v>2.3</x:v>
      </x:c>
      <x:c r="H202" t="n">
        <x:v>18</x:v>
      </x:c>
      <x:c r="I202" t="n">
        <x:v>2.5</x:v>
      </x:c>
      <x:c r="J202" t="n">
        <x:v>34.5</x:v>
      </x:c>
      <x:c r="K202" t="n">
        <x:v>52.3</x:v>
      </x:c>
      <x:c r="L202" t="str">
        <x:v>REPAIR</x:v>
      </x:c>
      <x:c r="M202" t="str">
        <x:v>□◉ + ◎✓ + △ + ↺</x:v>
      </x:c>
      <x:c r="N202" t="str">
        <x:v>C(Engineer grammar) with Kr(Closed Gate light): REPAIR in model.</x:v>
      </x:c>
    </x:row>
    <x:row r="203">
      <x:c r="A203" t="str">
        <x:v>N</x:v>
      </x:c>
      <x:c r="B203" t="str">
        <x:v>N</x:v>
      </x:c>
      <x:c r="C203" t="str">
        <x:v>Bridge guardian</x:v>
      </x:c>
      <x:c r="D203" t="str">
        <x:v>Bridge guardian</x:v>
      </x:c>
      <x:c r="E203" t="str">
        <x:v>◎ᛉ</x:v>
      </x:c>
      <x:c r="F203" t="str">
        <x:v>◎ᛉ</x:v>
      </x:c>
      <x:c r="G203" t="n">
        <x:v>31.5</x:v>
      </x:c>
      <x:c r="H203" t="n">
        <x:v>20</x:v>
      </x:c>
      <x:c r="I203" t="n">
        <x:v>5</x:v>
      </x:c>
      <x:c r="J203" t="n">
        <x:v>29</x:v>
      </x:c>
      <x:c r="K203" t="n">
        <x:v>75.5</x:v>
      </x:c>
      <x:c r="L203" t="str">
        <x:v>OPEN</x:v>
      </x:c>
      <x:c r="M203" t="str">
        <x:v>◎ᛉ + ◎ᛉ + △ + ◎✓</x:v>
      </x:c>
      <x:c r="N203" t="str">
        <x:v>N(Bridge guardian) with N(Bridge guardian): OPEN in model.</x:v>
      </x:c>
    </x:row>
    <x:row r="204">
      <x:c r="A204" t="str">
        <x:v>N</x:v>
      </x:c>
      <x:c r="B204" t="str">
        <x:v>O</x:v>
      </x:c>
      <x:c r="C204" t="str">
        <x:v>Bridge guardian</x:v>
      </x:c>
      <x:c r="D204" t="str">
        <x:v>Receiver activator</x:v>
      </x:c>
      <x:c r="E204" t="str">
        <x:v>◎ᛉ</x:v>
      </x:c>
      <x:c r="F204" t="str">
        <x:v>▽△</x:v>
      </x:c>
      <x:c r="G204" t="n">
        <x:v>45.9</x:v>
      </x:c>
      <x:c r="H204" t="n">
        <x:v>16</x:v>
      </x:c>
      <x:c r="I204" t="n">
        <x:v>6</x:v>
      </x:c>
      <x:c r="J204" t="n">
        <x:v>27.5</x:v>
      </x:c>
      <x:c r="K204" t="n">
        <x:v>83.4</x:v>
      </x:c>
      <x:c r="L204" t="str">
        <x:v>OPEN</x:v>
      </x:c>
      <x:c r="M204" t="str">
        <x:v>◎ᛉ + ▽△ + △ + ◎✓</x:v>
      </x:c>
      <x:c r="N204" t="str">
        <x:v>N(Bridge guardian) with O(Receiver activator): OPEN in model.</x:v>
      </x:c>
    </x:row>
    <x:row r="205">
      <x:c r="A205" t="str">
        <x:v>N</x:v>
      </x:c>
      <x:c r="B205" t="str">
        <x:v>F</x:v>
      </x:c>
      <x:c r="C205" t="str">
        <x:v>Bridge guardian</x:v>
      </x:c>
      <x:c r="D205" t="str">
        <x:v>Strong receiver</x:v>
      </x:c>
      <x:c r="E205" t="str">
        <x:v>◎ᛉ</x:v>
      </x:c>
      <x:c r="F205" t="str">
        <x:v>▽◎</x:v>
      </x:c>
      <x:c r="G205" t="n">
        <x:v>48.7</x:v>
      </x:c>
      <x:c r="H205" t="n">
        <x:v>14</x:v>
      </x:c>
      <x:c r="I205" t="n">
        <x:v>7.5</x:v>
      </x:c>
      <x:c r="J205" t="n">
        <x:v>27</x:v>
      </x:c>
      <x:c r="K205" t="n">
        <x:v>82.2</x:v>
      </x:c>
      <x:c r="L205" t="str">
        <x:v>OPEN</x:v>
      </x:c>
      <x:c r="M205" t="str">
        <x:v>◎ᛉ + ▽◎ + △ + ◎✓</x:v>
      </x:c>
      <x:c r="N205" t="str">
        <x:v>N(Bridge guardian) with F(Strong receiver): OPEN in model.</x:v>
      </x:c>
    </x:row>
    <x:row r="206">
      <x:c r="A206" t="str">
        <x:v>N</x:v>
      </x:c>
      <x:c r="B206" t="str">
        <x:v>Ne</x:v>
      </x:c>
      <x:c r="C206" t="str">
        <x:v>Bridge guardian</x:v>
      </x:c>
      <x:c r="D206" t="str">
        <x:v>Closed Gate</x:v>
      </x:c>
      <x:c r="E206" t="str">
        <x:v>◎ᛉ</x:v>
      </x:c>
      <x:c r="F206" t="str">
        <x:v>◎✓</x:v>
      </x:c>
      <x:c r="G206" t="n">
        <x:v>2.9</x:v>
      </x:c>
      <x:c r="H206" t="n">
        <x:v>15</x:v>
      </x:c>
      <x:c r="I206" t="n">
        <x:v>3</x:v>
      </x:c>
      <x:c r="J206" t="n">
        <x:v>34</x:v>
      </x:c>
      <x:c r="K206" t="n">
        <x:v>48.9</x:v>
      </x:c>
      <x:c r="L206" t="str">
        <x:v>REPAIR</x:v>
      </x:c>
      <x:c r="M206" t="str">
        <x:v>◎ᛉ + ◎✓ + △ + ↺</x:v>
      </x:c>
      <x:c r="N206" t="str">
        <x:v>N(Bridge guardian) with Ne(Closed Gate): REPAIR in model.</x:v>
      </x:c>
    </x:row>
    <x:row r="207">
      <x:c r="A207" t="str">
        <x:v>N</x:v>
      </x:c>
      <x:c r="B207" t="str">
        <x:v>Na</x:v>
      </x:c>
      <x:c r="C207" t="str">
        <x:v>Bridge guardian</x:v>
      </x:c>
      <x:c r="D207" t="str">
        <x:v>Strong donor</x:v>
      </x:c>
      <x:c r="E207" t="str">
        <x:v>◎ᛉ</x:v>
      </x:c>
      <x:c r="F207" t="str">
        <x:v>△ᛏ</x:v>
      </x:c>
      <x:c r="G207" t="n">
        <x:v>33.8</x:v>
      </x:c>
      <x:c r="H207" t="n">
        <x:v>13</x:v>
      </x:c>
      <x:c r="I207" t="n">
        <x:v>8</x:v>
      </x:c>
      <x:c r="J207" t="n">
        <x:v>20.5</x:v>
      </x:c>
      <x:c r="K207" t="n">
        <x:v>59.3</x:v>
      </x:c>
      <x:c r="L207" t="str">
        <x:v>ASK</x:v>
      </x:c>
      <x:c r="M207" t="str">
        <x:v>◎ᛉ + △ᛏ + △ + ◎?</x:v>
      </x:c>
      <x:c r="N207" t="str">
        <x:v>N(Bridge guardian) with Na(Strong donor): ASK in model.</x:v>
      </x:c>
    </x:row>
    <x:row r="208">
      <x:c r="A208" t="str">
        <x:v>N</x:v>
      </x:c>
      <x:c r="B208" t="str">
        <x:v>Mg</x:v>
      </x:c>
      <x:c r="C208" t="str">
        <x:v>Bridge guardian</x:v>
      </x:c>
      <x:c r="D208" t="str">
        <x:v>Structure donor</x:v>
      </x:c>
      <x:c r="E208" t="str">
        <x:v>◎ᛉ</x:v>
      </x:c>
      <x:c r="F208" t="str">
        <x:v>□△</x:v>
      </x:c>
      <x:c r="G208" t="n">
        <x:v>27.2</x:v>
      </x:c>
      <x:c r="H208" t="n">
        <x:v>19</x:v>
      </x:c>
      <x:c r="I208" t="n">
        <x:v>6</x:v>
      </x:c>
      <x:c r="J208" t="n">
        <x:v>25</x:v>
      </x:c>
      <x:c r="K208" t="n">
        <x:v>65.2</x:v>
      </x:c>
      <x:c r="L208" t="str">
        <x:v>ASK</x:v>
      </x:c>
      <x:c r="M208" t="str">
        <x:v>◎ᛉ + □△ + △ + ◎?</x:v>
      </x:c>
      <x:c r="N208" t="str">
        <x:v>N(Bridge guardian) with Mg(Structure donor): ASK in model.</x:v>
      </x:c>
    </x:row>
    <x:row r="209">
      <x:c r="A209" t="str">
        <x:v>N</x:v>
      </x:c>
      <x:c r="B209" t="str">
        <x:v>Al</x:v>
      </x:c>
      <x:c r="C209" t="str">
        <x:v>Bridge guardian</x:v>
      </x:c>
      <x:c r="D209" t="str">
        <x:v>Form builder</x:v>
      </x:c>
      <x:c r="E209" t="str">
        <x:v>◎ᛉ</x:v>
      </x:c>
      <x:c r="F209" t="str">
        <x:v>□◎</x:v>
      </x:c>
      <x:c r="G209" t="n">
        <x:v>27.1</x:v>
      </x:c>
      <x:c r="H209" t="n">
        <x:v>17</x:v>
      </x:c>
      <x:c r="I209" t="n">
        <x:v>5</x:v>
      </x:c>
      <x:c r="J209" t="n">
        <x:v>27</x:v>
      </x:c>
      <x:c r="K209" t="n">
        <x:v>66.1</x:v>
      </x:c>
      <x:c r="L209" t="str">
        <x:v>ASK</x:v>
      </x:c>
      <x:c r="M209" t="str">
        <x:v>◎ᛉ + □◎ + △ + ◎?</x:v>
      </x:c>
      <x:c r="N209" t="str">
        <x:v>N(Bridge guardian) with Al(Form builder): ASK in model.</x:v>
      </x:c>
    </x:row>
    <x:row r="210">
      <x:c r="A210" t="str">
        <x:v>N</x:v>
      </x:c>
      <x:c r="B210" t="str">
        <x:v>Si</x:v>
      </x:c>
      <x:c r="C210" t="str">
        <x:v>Bridge guardian</x:v>
      </x:c>
      <x:c r="D210" t="str">
        <x:v>Lattice engineer</x:v>
      </x:c>
      <x:c r="E210" t="str">
        <x:v>◎ᛉ</x:v>
      </x:c>
      <x:c r="F210" t="str">
        <x:v>□◉</x:v>
      </x:c>
      <x:c r="G210" t="n">
        <x:v>24.1</x:v>
      </x:c>
      <x:c r="H210" t="n">
        <x:v>14</x:v>
      </x:c>
      <x:c r="I210" t="n">
        <x:v>4.5</x:v>
      </x:c>
      <x:c r="J210" t="n">
        <x:v>29.5</x:v>
      </x:c>
      <x:c r="K210" t="n">
        <x:v>63.1</x:v>
      </x:c>
      <x:c r="L210" t="str">
        <x:v>ASK</x:v>
      </x:c>
      <x:c r="M210" t="str">
        <x:v>◎ᛉ + □◉ + △ + ◎?</x:v>
      </x:c>
      <x:c r="N210" t="str">
        <x:v>N(Bridge guardian) with Si(Lattice engineer): ASK in model.</x:v>
      </x:c>
    </x:row>
    <x:row r="211">
      <x:c r="A211" t="str">
        <x:v>N</x:v>
      </x:c>
      <x:c r="B211" t="str">
        <x:v>P</x:v>
      </x:c>
      <x:c r="C211" t="str">
        <x:v>Bridge guardian</x:v>
      </x:c>
      <x:c r="D211" t="str">
        <x:v>Energy memory</x:v>
      </x:c>
      <x:c r="E211" t="str">
        <x:v>◎ᛉ</x:v>
      </x:c>
      <x:c r="F211" t="str">
        <x:v>◉△</x:v>
      </x:c>
      <x:c r="G211" t="n">
        <x:v>37.4</x:v>
      </x:c>
      <x:c r="H211" t="n">
        <x:v>19</x:v>
      </x:c>
      <x:c r="I211" t="n">
        <x:v>6.5</x:v>
      </x:c>
      <x:c r="J211" t="n">
        <x:v>27</x:v>
      </x:c>
      <x:c r="K211" t="n">
        <x:v>76.9</x:v>
      </x:c>
      <x:c r="L211" t="str">
        <x:v>OPEN</x:v>
      </x:c>
      <x:c r="M211" t="str">
        <x:v>◎ᛉ + ◉△ + △ + ◎✓</x:v>
      </x:c>
      <x:c r="N211" t="str">
        <x:v>N(Bridge guardian) with P(Energy memory): OPEN in model.</x:v>
      </x:c>
    </x:row>
    <x:row r="212">
      <x:c r="A212" t="str">
        <x:v>N</x:v>
      </x:c>
      <x:c r="B212" t="str">
        <x:v>S</x:v>
      </x:c>
      <x:c r="C212" t="str">
        <x:v>Bridge guardian</x:v>
      </x:c>
      <x:c r="D212" t="str">
        <x:v>Connector phase</x:v>
      </x:c>
      <x:c r="E212" t="str">
        <x:v>◎ᛉ</x:v>
      </x:c>
      <x:c r="F212" t="str">
        <x:v>↺▽</x:v>
      </x:c>
      <x:c r="G212" t="n">
        <x:v>35</x:v>
      </x:c>
      <x:c r="H212" t="n">
        <x:v>20</x:v>
      </x:c>
      <x:c r="I212" t="n">
        <x:v>6</x:v>
      </x:c>
      <x:c r="J212" t="n">
        <x:v>26.5</x:v>
      </x:c>
      <x:c r="K212" t="n">
        <x:v>75.5</x:v>
      </x:c>
      <x:c r="L212" t="str">
        <x:v>OPEN</x:v>
      </x:c>
      <x:c r="M212" t="str">
        <x:v>◎ᛉ + ↺▽ + △ + ◎✓</x:v>
      </x:c>
      <x:c r="N212" t="str">
        <x:v>N(Bridge guardian) with S(Connector phase): OPEN in model.</x:v>
      </x:c>
    </x:row>
    <x:row r="213">
      <x:c r="A213" t="str">
        <x:v>N</x:v>
      </x:c>
      <x:c r="B213" t="str">
        <x:v>Cl</x:v>
      </x:c>
      <x:c r="C213" t="str">
        <x:v>Bridge guardian</x:v>
      </x:c>
      <x:c r="D213" t="str">
        <x:v>Receiver closure</x:v>
      </x:c>
      <x:c r="E213" t="str">
        <x:v>◎ᛉ</x:v>
      </x:c>
      <x:c r="F213" t="str">
        <x:v>▽◎</x:v>
      </x:c>
      <x:c r="G213" t="n">
        <x:v>45.9</x:v>
      </x:c>
      <x:c r="H213" t="n">
        <x:v>15</x:v>
      </x:c>
      <x:c r="I213" t="n">
        <x:v>7</x:v>
      </x:c>
      <x:c r="J213" t="n">
        <x:v>27.5</x:v>
      </x:c>
      <x:c r="K213" t="n">
        <x:v>81.4</x:v>
      </x:c>
      <x:c r="L213" t="str">
        <x:v>OPEN</x:v>
      </x:c>
      <x:c r="M213" t="str">
        <x:v>◎ᛉ + ▽◎ + △ + ◎✓</x:v>
      </x:c>
      <x:c r="N213" t="str">
        <x:v>N(Bridge guardian) with Cl(Receiver closure): OPEN in model.</x:v>
      </x:c>
    </x:row>
    <x:row r="214">
      <x:c r="A214" t="str">
        <x:v>N</x:v>
      </x:c>
      <x:c r="B214" t="str">
        <x:v>Ar</x:v>
      </x:c>
      <x:c r="C214" t="str">
        <x:v>Bridge guardian</x:v>
      </x:c>
      <x:c r="D214" t="str">
        <x:v>Closed Gate</x:v>
      </x:c>
      <x:c r="E214" t="str">
        <x:v>◎ᛉ</x:v>
      </x:c>
      <x:c r="F214" t="str">
        <x:v>◎✓</x:v>
      </x:c>
      <x:c r="G214" t="n">
        <x:v>2.9</x:v>
      </x:c>
      <x:c r="H214" t="n">
        <x:v>15</x:v>
      </x:c>
      <x:c r="I214" t="n">
        <x:v>3</x:v>
      </x:c>
      <x:c r="J214" t="n">
        <x:v>34</x:v>
      </x:c>
      <x:c r="K214" t="n">
        <x:v>48.9</x:v>
      </x:c>
      <x:c r="L214" t="str">
        <x:v>REPAIR</x:v>
      </x:c>
      <x:c r="M214" t="str">
        <x:v>◎ᛉ + ◎✓ + △ + ↺</x:v>
      </x:c>
      <x:c r="N214" t="str">
        <x:v>N(Bridge guardian) with Ar(Closed Gate): REPAIR in model.</x:v>
      </x:c>
    </x:row>
    <x:row r="215">
      <x:c r="A215" t="str">
        <x:v>N</x:v>
      </x:c>
      <x:c r="B215" t="str">
        <x:v>K</x:v>
      </x:c>
      <x:c r="C215" t="str">
        <x:v>Bridge guardian</x:v>
      </x:c>
      <x:c r="D215" t="str">
        <x:v>Heavy opener</x:v>
      </x:c>
      <x:c r="E215" t="str">
        <x:v>◎ᛉ</x:v>
      </x:c>
      <x:c r="F215" t="str">
        <x:v>△ᛏ</x:v>
      </x:c>
      <x:c r="G215" t="n">
        <x:v>35.5</x:v>
      </x:c>
      <x:c r="H215" t="n">
        <x:v>13</x:v>
      </x:c>
      <x:c r="I215" t="n">
        <x:v>9</x:v>
      </x:c>
      <x:c r="J215" t="n">
        <x:v>19.5</x:v>
      </x:c>
      <x:c r="K215" t="n">
        <x:v>59</x:v>
      </x:c>
      <x:c r="L215" t="str">
        <x:v>ASK</x:v>
      </x:c>
      <x:c r="M215" t="str">
        <x:v>◎ᛉ + △ᛏ + △ + ◎?</x:v>
      </x:c>
      <x:c r="N215" t="str">
        <x:v>N(Bridge guardian) with K(Heavy opener): ASK in model.</x:v>
      </x:c>
    </x:row>
    <x:row r="216">
      <x:c r="A216" t="str">
        <x:v>N</x:v>
      </x:c>
      <x:c r="B216" t="str">
        <x:v>Ca</x:v>
      </x:c>
      <x:c r="C216" t="str">
        <x:v>Bridge guardian</x:v>
      </x:c>
      <x:c r="D216" t="str">
        <x:v>Tank structure</x:v>
      </x:c>
      <x:c r="E216" t="str">
        <x:v>◎ᛉ</x:v>
      </x:c>
      <x:c r="F216" t="str">
        <x:v>ᛉ□</x:v>
      </x:c>
      <x:c r="G216" t="n">
        <x:v>26.6</x:v>
      </x:c>
      <x:c r="H216" t="n">
        <x:v>17</x:v>
      </x:c>
      <x:c r="I216" t="n">
        <x:v>5.5</x:v>
      </x:c>
      <x:c r="J216" t="n">
        <x:v>27</x:v>
      </x:c>
      <x:c r="K216" t="n">
        <x:v>65.1</x:v>
      </x:c>
      <x:c r="L216" t="str">
        <x:v>ASK</x:v>
      </x:c>
      <x:c r="M216" t="str">
        <x:v>◎ᛉ + ᛉ□ + △ + ◎?</x:v>
      </x:c>
      <x:c r="N216" t="str">
        <x:v>N(Bridge guardian) with Ca(Tank structure): ASK in model.</x:v>
      </x:c>
    </x:row>
    <x:row r="217">
      <x:c r="A217" t="str">
        <x:v>N</x:v>
      </x:c>
      <x:c r="B217" t="str">
        <x:v>Sc</x:v>
      </x:c>
      <x:c r="C217" t="str">
        <x:v>Bridge guardian</x:v>
      </x:c>
      <x:c r="D217" t="str">
        <x:v>Transition bridge</x:v>
      </x:c>
      <x:c r="E217" t="str">
        <x:v>◎ᛉ</x:v>
      </x:c>
      <x:c r="F217" t="str">
        <x:v>↺□</x:v>
      </x:c>
      <x:c r="G217" t="n">
        <x:v>27.1</x:v>
      </x:c>
      <x:c r="H217" t="n">
        <x:v>18</x:v>
      </x:c>
      <x:c r="I217" t="n">
        <x:v>5.5</x:v>
      </x:c>
      <x:c r="J217" t="n">
        <x:v>26.5</x:v>
      </x:c>
      <x:c r="K217" t="n">
        <x:v>66.1</x:v>
      </x:c>
      <x:c r="L217" t="str">
        <x:v>ASK</x:v>
      </x:c>
      <x:c r="M217" t="str">
        <x:v>◎ᛉ + ↺□ + △ + ◎?</x:v>
      </x:c>
      <x:c r="N217" t="str">
        <x:v>N(Bridge guardian) with Sc(Transition bridge): ASK in model.</x:v>
      </x:c>
    </x:row>
    <x:row r="218">
      <x:c r="A218" t="str">
        <x:v>N</x:v>
      </x:c>
      <x:c r="B218" t="str">
        <x:v>Ti</x:v>
      </x:c>
      <x:c r="C218" t="str">
        <x:v>Bridge guardian</x:v>
      </x:c>
      <x:c r="D218" t="str">
        <x:v>Strong structure</x:v>
      </x:c>
      <x:c r="E218" t="str">
        <x:v>◎ᛉ</x:v>
      </x:c>
      <x:c r="F218" t="str">
        <x:v>ᛉ□</x:v>
      </x:c>
      <x:c r="G218" t="n">
        <x:v>27.1</x:v>
      </x:c>
      <x:c r="H218" t="n">
        <x:v>15</x:v>
      </x:c>
      <x:c r="I218" t="n">
        <x:v>4.5</x:v>
      </x:c>
      <x:c r="J218" t="n">
        <x:v>29.5</x:v>
      </x:c>
      <x:c r="K218" t="n">
        <x:v>67.1</x:v>
      </x:c>
      <x:c r="L218" t="str">
        <x:v>ASK</x:v>
      </x:c>
      <x:c r="M218" t="str">
        <x:v>◎ᛉ + ᛉ□ + △ + ◎?</x:v>
      </x:c>
      <x:c r="N218" t="str">
        <x:v>N(Bridge guardian) with Ti(Strong structure): ASK in model.</x:v>
      </x:c>
    </x:row>
    <x:row r="219">
      <x:c r="A219" t="str">
        <x:v>N</x:v>
      </x:c>
      <x:c r="B219" t="str">
        <x:v>V</x:v>
      </x:c>
      <x:c r="C219" t="str">
        <x:v>Bridge guardian</x:v>
      </x:c>
      <x:c r="D219" t="str">
        <x:v>Multi-state gate</x:v>
      </x:c>
      <x:c r="E219" t="str">
        <x:v>◎ᛉ</x:v>
      </x:c>
      <x:c r="F219" t="str">
        <x:v>◎↺</x:v>
      </x:c>
      <x:c r="G219" t="n">
        <x:v>32.9</x:v>
      </x:c>
      <x:c r="H219" t="n">
        <x:v>18</x:v>
      </x:c>
      <x:c r="I219" t="n">
        <x:v>7</x:v>
      </x:c>
      <x:c r="J219" t="n">
        <x:v>27</x:v>
      </x:c>
      <x:c r="K219" t="n">
        <x:v>70.9</x:v>
      </x:c>
      <x:c r="L219" t="str">
        <x:v>ASK</x:v>
      </x:c>
      <x:c r="M219" t="str">
        <x:v>◎ᛉ + ◎↺ + △ + ◎?</x:v>
      </x:c>
      <x:c r="N219" t="str">
        <x:v>N(Bridge guardian) with V(Multi-state gate): ASK in model.</x:v>
      </x:c>
    </x:row>
    <x:row r="220">
      <x:c r="A220" t="str">
        <x:v>N</x:v>
      </x:c>
      <x:c r="B220" t="str">
        <x:v>Cr</x:v>
      </x:c>
      <x:c r="C220" t="str">
        <x:v>Bridge guardian</x:v>
      </x:c>
      <x:c r="D220" t="str">
        <x:v>Surface guardian</x:v>
      </x:c>
      <x:c r="E220" t="str">
        <x:v>◎ᛉ</x:v>
      </x:c>
      <x:c r="F220" t="str">
        <x:v>ᛉ◎</x:v>
      </x:c>
      <x:c r="G220" t="n">
        <x:v>31.1</x:v>
      </x:c>
      <x:c r="H220" t="n">
        <x:v>16</x:v>
      </x:c>
      <x:c r="I220" t="n">
        <x:v>6</x:v>
      </x:c>
      <x:c r="J220" t="n">
        <x:v>29.5</x:v>
      </x:c>
      <x:c r="K220" t="n">
        <x:v>70.6</x:v>
      </x:c>
      <x:c r="L220" t="str">
        <x:v>ASK</x:v>
      </x:c>
      <x:c r="M220" t="str">
        <x:v>◎ᛉ + ᛉ◎ + △ + ◎?</x:v>
      </x:c>
      <x:c r="N220" t="str">
        <x:v>N(Bridge guardian) with Cr(Surface guardian): ASK in model.</x:v>
      </x:c>
    </x:row>
    <x:row r="221">
      <x:c r="A221" t="str">
        <x:v>N</x:v>
      </x:c>
      <x:c r="B221" t="str">
        <x:v>Mn</x:v>
      </x:c>
      <x:c r="C221" t="str">
        <x:v>Bridge guardian</x:v>
      </x:c>
      <x:c r="D221" t="str">
        <x:v>Redox archer</x:v>
      </x:c>
      <x:c r="E221" t="str">
        <x:v>◎ᛉ</x:v>
      </x:c>
      <x:c r="F221" t="str">
        <x:v>ᛏ↺</x:v>
      </x:c>
      <x:c r="G221" t="n">
        <x:v>38.6</x:v>
      </x:c>
      <x:c r="H221" t="n">
        <x:v>20</x:v>
      </x:c>
      <x:c r="I221" t="n">
        <x:v>8</x:v>
      </x:c>
      <x:c r="J221" t="n">
        <x:v>25.5</x:v>
      </x:c>
      <x:c r="K221" t="n">
        <x:v>76.1</x:v>
      </x:c>
      <x:c r="L221" t="str">
        <x:v>OPEN</x:v>
      </x:c>
      <x:c r="M221" t="str">
        <x:v>◎ᛉ + ᛏ↺ + △ + ◎✓</x:v>
      </x:c>
      <x:c r="N221" t="str">
        <x:v>N(Bridge guardian) with Mn(Redox archer): OPEN in model.</x:v>
      </x:c>
    </x:row>
    <x:row r="222">
      <x:c r="A222" t="str">
        <x:v>N</x:v>
      </x:c>
      <x:c r="B222" t="str">
        <x:v>Fe</x:v>
      </x:c>
      <x:c r="C222" t="str">
        <x:v>Bridge guardian</x:v>
      </x:c>
      <x:c r="D222" t="str">
        <x:v>Tank memory</x:v>
      </x:c>
      <x:c r="E222" t="str">
        <x:v>◎ᛉ</x:v>
      </x:c>
      <x:c r="F222" t="str">
        <x:v>ᛉ◉</x:v>
      </x:c>
      <x:c r="G222" t="n">
        <x:v>35.1</x:v>
      </x:c>
      <x:c r="H222" t="n">
        <x:v>15</x:v>
      </x:c>
      <x:c r="I222" t="n">
        <x:v>6</x:v>
      </x:c>
      <x:c r="J222" t="n">
        <x:v>28.5</x:v>
      </x:c>
      <x:c r="K222" t="n">
        <x:v>72.6</x:v>
      </x:c>
      <x:c r="L222" t="str">
        <x:v>ASK</x:v>
      </x:c>
      <x:c r="M222" t="str">
        <x:v>◎ᛉ + ᛉ◉ + △ + ◎?</x:v>
      </x:c>
      <x:c r="N222" t="str">
        <x:v>N(Bridge guardian) with Fe(Tank memory): ASK in model.</x:v>
      </x:c>
    </x:row>
    <x:row r="223">
      <x:c r="A223" t="str">
        <x:v>N</x:v>
      </x:c>
      <x:c r="B223" t="str">
        <x:v>Co</x:v>
      </x:c>
      <x:c r="C223" t="str">
        <x:v>Bridge guardian</x:v>
      </x:c>
      <x:c r="D223" t="str">
        <x:v>Magnetic bridge</x:v>
      </x:c>
      <x:c r="E223" t="str">
        <x:v>◎ᛉ</x:v>
      </x:c>
      <x:c r="F223" t="str">
        <x:v>◉ᛉ</x:v>
      </x:c>
      <x:c r="G223" t="n">
        <x:v>32.2</x:v>
      </x:c>
      <x:c r="H223" t="n">
        <x:v>16</x:v>
      </x:c>
      <x:c r="I223" t="n">
        <x:v>6</x:v>
      </x:c>
      <x:c r="J223" t="n">
        <x:v>28</x:v>
      </x:c>
      <x:c r="K223" t="n">
        <x:v>70.2</x:v>
      </x:c>
      <x:c r="L223" t="str">
        <x:v>ASK</x:v>
      </x:c>
      <x:c r="M223" t="str">
        <x:v>◎ᛉ + ◉ᛉ + △ + ◎?</x:v>
      </x:c>
      <x:c r="N223" t="str">
        <x:v>N(Bridge guardian) with Co(Magnetic bridge): ASK in model.</x:v>
      </x:c>
    </x:row>
    <x:row r="224">
      <x:c r="A224" t="str">
        <x:v>N</x:v>
      </x:c>
      <x:c r="B224" t="str">
        <x:v>Ni</x:v>
      </x:c>
      <x:c r="C224" t="str">
        <x:v>Bridge guardian</x:v>
      </x:c>
      <x:c r="D224" t="str">
        <x:v>Catalytic guard</x:v>
      </x:c>
      <x:c r="E224" t="str">
        <x:v>◎ᛉ</x:v>
      </x:c>
      <x:c r="F224" t="str">
        <x:v>◎↺</x:v>
      </x:c>
      <x:c r="G224" t="n">
        <x:v>31.6</x:v>
      </x:c>
      <x:c r="H224" t="n">
        <x:v>16</x:v>
      </x:c>
      <x:c r="I224" t="n">
        <x:v>5.5</x:v>
      </x:c>
      <x:c r="J224" t="n">
        <x:v>29</x:v>
      </x:c>
      <x:c r="K224" t="n">
        <x:v>71.1</x:v>
      </x:c>
      <x:c r="L224" t="str">
        <x:v>ASK</x:v>
      </x:c>
      <x:c r="M224" t="str">
        <x:v>◎ᛉ + ◎↺ + △ + ◎?</x:v>
      </x:c>
      <x:c r="N224" t="str">
        <x:v>N(Bridge guardian) with Ni(Catalytic guard): ASK in model.</x:v>
      </x:c>
    </x:row>
    <x:row r="225">
      <x:c r="A225" t="str">
        <x:v>N</x:v>
      </x:c>
      <x:c r="B225" t="str">
        <x:v>Cu</x:v>
      </x:c>
      <x:c r="C225" t="str">
        <x:v>Bridge guardian</x:v>
      </x:c>
      <x:c r="D225" t="str">
        <x:v>Conductor flow</x:v>
      </x:c>
      <x:c r="E225" t="str">
        <x:v>◎ᛉ</x:v>
      </x:c>
      <x:c r="F225" t="str">
        <x:v>↺ᛏ</x:v>
      </x:c>
      <x:c r="G225" t="n">
        <x:v>33.4</x:v>
      </x:c>
      <x:c r="H225" t="n">
        <x:v>18</x:v>
      </x:c>
      <x:c r="I225" t="n">
        <x:v>5</x:v>
      </x:c>
      <x:c r="J225" t="n">
        <x:v>28</x:v>
      </x:c>
      <x:c r="K225" t="n">
        <x:v>74.4</x:v>
      </x:c>
      <x:c r="L225" t="str">
        <x:v>ASK</x:v>
      </x:c>
      <x:c r="M225" t="str">
        <x:v>◎ᛉ + ↺ᛏ + △ + ◎?</x:v>
      </x:c>
      <x:c r="N225" t="str">
        <x:v>N(Bridge guardian) with Cu(Conductor flow): ASK in model.</x:v>
      </x:c>
    </x:row>
    <x:row r="226">
      <x:c r="A226" t="str">
        <x:v>N</x:v>
      </x:c>
      <x:c r="B226" t="str">
        <x:v>Zn</x:v>
      </x:c>
      <x:c r="C226" t="str">
        <x:v>Bridge guardian</x:v>
      </x:c>
      <x:c r="D226" t="str">
        <x:v>Enzyme stabilizer</x:v>
      </x:c>
      <x:c r="E226" t="str">
        <x:v>◎ᛉ</x:v>
      </x:c>
      <x:c r="F226" t="str">
        <x:v>◎□</x:v>
      </x:c>
      <x:c r="G226" t="n">
        <x:v>24.1</x:v>
      </x:c>
      <x:c r="H226" t="n">
        <x:v>16</x:v>
      </x:c>
      <x:c r="I226" t="n">
        <x:v>4.5</x:v>
      </x:c>
      <x:c r="J226" t="n">
        <x:v>31</x:v>
      </x:c>
      <x:c r="K226" t="n">
        <x:v>66.6</x:v>
      </x:c>
      <x:c r="L226" t="str">
        <x:v>ASK</x:v>
      </x:c>
      <x:c r="M226" t="str">
        <x:v>◎ᛉ + ◎□ + △ + ◎?</x:v>
      </x:c>
      <x:c r="N226" t="str">
        <x:v>N(Bridge guardian) with Zn(Enzyme stabilizer): ASK in model.</x:v>
      </x:c>
    </x:row>
    <x:row r="227">
      <x:c r="A227" t="str">
        <x:v>N</x:v>
      </x:c>
      <x:c r="B227" t="str">
        <x:v>Ga</x:v>
      </x:c>
      <x:c r="C227" t="str">
        <x:v>Bridge guardian</x:v>
      </x:c>
      <x:c r="D227" t="str">
        <x:v>Soft form gate</x:v>
      </x:c>
      <x:c r="E227" t="str">
        <x:v>◎ᛉ</x:v>
      </x:c>
      <x:c r="F227" t="str">
        <x:v>□↺</x:v>
      </x:c>
      <x:c r="G227" t="n">
        <x:v>24.8</x:v>
      </x:c>
      <x:c r="H227" t="n">
        <x:v>19</x:v>
      </x:c>
      <x:c r="I227" t="n">
        <x:v>5.5</x:v>
      </x:c>
      <x:c r="J227" t="n">
        <x:v>26</x:v>
      </x:c>
      <x:c r="K227" t="n">
        <x:v>64.3</x:v>
      </x:c>
      <x:c r="L227" t="str">
        <x:v>ASK</x:v>
      </x:c>
      <x:c r="M227" t="str">
        <x:v>◎ᛉ + □↺ + △ + ◎?</x:v>
      </x:c>
      <x:c r="N227" t="str">
        <x:v>N(Bridge guardian) with Ga(Soft form gate): ASK in model.</x:v>
      </x:c>
    </x:row>
    <x:row r="228">
      <x:c r="A228" t="str">
        <x:v>N</x:v>
      </x:c>
      <x:c r="B228" t="str">
        <x:v>Ge</x:v>
      </x:c>
      <x:c r="C228" t="str">
        <x:v>Bridge guardian</x:v>
      </x:c>
      <x:c r="D228" t="str">
        <x:v>Semi lattice</x:v>
      </x:c>
      <x:c r="E228" t="str">
        <x:v>◎ᛉ</x:v>
      </x:c>
      <x:c r="F228" t="str">
        <x:v>□◎</x:v>
      </x:c>
      <x:c r="G228" t="n">
        <x:v>24.1</x:v>
      </x:c>
      <x:c r="H228" t="n">
        <x:v>16</x:v>
      </x:c>
      <x:c r="I228" t="n">
        <x:v>5</x:v>
      </x:c>
      <x:c r="J228" t="n">
        <x:v>28.5</x:v>
      </x:c>
      <x:c r="K228" t="n">
        <x:v>63.6</x:v>
      </x:c>
      <x:c r="L228" t="str">
        <x:v>ASK</x:v>
      </x:c>
      <x:c r="M228" t="str">
        <x:v>◎ᛉ + □◎ + △ + ◎?</x:v>
      </x:c>
      <x:c r="N228" t="str">
        <x:v>N(Bridge guardian) with Ge(Semi lattice): ASK in model.</x:v>
      </x:c>
    </x:row>
    <x:row r="229">
      <x:c r="A229" t="str">
        <x:v>N</x:v>
      </x:c>
      <x:c r="B229" t="str">
        <x:v>As</x:v>
      </x:c>
      <x:c r="C229" t="str">
        <x:v>Bridge guardian</x:v>
      </x:c>
      <x:c r="D229" t="str">
        <x:v>Shadow gate</x:v>
      </x:c>
      <x:c r="E229" t="str">
        <x:v>◎ᛉ</x:v>
      </x:c>
      <x:c r="F229" t="str">
        <x:v>∅◎</x:v>
      </x:c>
      <x:c r="G229" t="n">
        <x:v>29.9</x:v>
      </x:c>
      <x:c r="H229" t="n">
        <x:v>20</x:v>
      </x:c>
      <x:c r="I229" t="n">
        <x:v>10</x:v>
      </x:c>
      <x:c r="J229" t="n">
        <x:v>23.5</x:v>
      </x:c>
      <x:c r="K229" t="n">
        <x:v>63.4</x:v>
      </x:c>
      <x:c r="L229" t="str">
        <x:v>ASK</x:v>
      </x:c>
      <x:c r="M229" t="str">
        <x:v>◎ᛉ + ∅◎ + △ + ◎?</x:v>
      </x:c>
      <x:c r="N229" t="str">
        <x:v>N(Bridge guardian) with As(Shadow gate): ASK in model.</x:v>
      </x:c>
    </x:row>
    <x:row r="230">
      <x:c r="A230" t="str">
        <x:v>N</x:v>
      </x:c>
      <x:c r="B230" t="str">
        <x:v>Se</x:v>
      </x:c>
      <x:c r="C230" t="str">
        <x:v>Bridge guardian</x:v>
      </x:c>
      <x:c r="D230" t="str">
        <x:v>Trace healer</x:v>
      </x:c>
      <x:c r="E230" t="str">
        <x:v>◎ᛉ</x:v>
      </x:c>
      <x:c r="F230" t="str">
        <x:v>↺◉</x:v>
      </x:c>
      <x:c r="G230" t="n">
        <x:v>30.4</x:v>
      </x:c>
      <x:c r="H230" t="n">
        <x:v>20</x:v>
      </x:c>
      <x:c r="I230" t="n">
        <x:v>6.5</x:v>
      </x:c>
      <x:c r="J230" t="n">
        <x:v>27</x:v>
      </x:c>
      <x:c r="K230" t="n">
        <x:v>70.9</x:v>
      </x:c>
      <x:c r="L230" t="str">
        <x:v>ASK</x:v>
      </x:c>
      <x:c r="M230" t="str">
        <x:v>◎ᛉ + ↺◉ + △ + ◎?</x:v>
      </x:c>
      <x:c r="N230" t="str">
        <x:v>N(Bridge guardian) with Se(Trace healer): ASK in model.</x:v>
      </x:c>
    </x:row>
    <x:row r="231">
      <x:c r="A231" t="str">
        <x:v>N</x:v>
      </x:c>
      <x:c r="B231" t="str">
        <x:v>Br</x:v>
      </x:c>
      <x:c r="C231" t="str">
        <x:v>Bridge guardian</x:v>
      </x:c>
      <x:c r="D231" t="str">
        <x:v>Heavy receiver</x:v>
      </x:c>
      <x:c r="E231" t="str">
        <x:v>◎ᛉ</x:v>
      </x:c>
      <x:c r="F231" t="str">
        <x:v>▽∅</x:v>
      </x:c>
      <x:c r="G231" t="n">
        <x:v>43</x:v>
      </x:c>
      <x:c r="H231" t="n">
        <x:v>16</x:v>
      </x:c>
      <x:c r="I231" t="n">
        <x:v>8</x:v>
      </x:c>
      <x:c r="J231" t="n">
        <x:v>26</x:v>
      </x:c>
      <x:c r="K231" t="n">
        <x:v>77</x:v>
      </x:c>
      <x:c r="L231" t="str">
        <x:v>OPEN</x:v>
      </x:c>
      <x:c r="M231" t="str">
        <x:v>◎ᛉ + ▽∅ + △ + ◎✓</x:v>
      </x:c>
      <x:c r="N231" t="str">
        <x:v>N(Bridge guardian) with Br(Heavy receiver): OPEN in model.</x:v>
      </x:c>
    </x:row>
    <x:row r="232">
      <x:c r="A232" t="str">
        <x:v>N</x:v>
      </x:c>
      <x:c r="B232" t="str">
        <x:v>Kr</x:v>
      </x:c>
      <x:c r="C232" t="str">
        <x:v>Bridge guardian</x:v>
      </x:c>
      <x:c r="D232" t="str">
        <x:v>Closed Gate light</x:v>
      </x:c>
      <x:c r="E232" t="str">
        <x:v>◎ᛉ</x:v>
      </x:c>
      <x:c r="F232" t="str">
        <x:v>◎✓</x:v>
      </x:c>
      <x:c r="G232" t="n">
        <x:v>2.9</x:v>
      </x:c>
      <x:c r="H232" t="n">
        <x:v>15</x:v>
      </x:c>
      <x:c r="I232" t="n">
        <x:v>3</x:v>
      </x:c>
      <x:c r="J232" t="n">
        <x:v>34</x:v>
      </x:c>
      <x:c r="K232" t="n">
        <x:v>48.9</x:v>
      </x:c>
      <x:c r="L232" t="str">
        <x:v>REPAIR</x:v>
      </x:c>
      <x:c r="M232" t="str">
        <x:v>◎ᛉ + ◎✓ + △ + ↺</x:v>
      </x:c>
      <x:c r="N232" t="str">
        <x:v>N(Bridge guardian) with Kr(Closed Gate light): REPAIR in model.</x:v>
      </x:c>
    </x:row>
    <x:row r="233">
      <x:c r="A233" t="str">
        <x:v>O</x:v>
      </x:c>
      <x:c r="B233" t="str">
        <x:v>O</x:v>
      </x:c>
      <x:c r="C233" t="str">
        <x:v>Receiver activator</x:v>
      </x:c>
      <x:c r="D233" t="str">
        <x:v>Receiver activator</x:v>
      </x:c>
      <x:c r="E233" t="str">
        <x:v>▽△</x:v>
      </x:c>
      <x:c r="F233" t="str">
        <x:v>▽△</x:v>
      </x:c>
      <x:c r="G233" t="n">
        <x:v>66.5</x:v>
      </x:c>
      <x:c r="H233" t="n">
        <x:v>20</x:v>
      </x:c>
      <x:c r="I233" t="n">
        <x:v>7</x:v>
      </x:c>
      <x:c r="J233" t="n">
        <x:v>26</x:v>
      </x:c>
      <x:c r="K233" t="n">
        <x:v>100</x:v>
      </x:c>
      <x:c r="L233" t="str">
        <x:v>OPEN</x:v>
      </x:c>
      <x:c r="M233" t="str">
        <x:v>▽△ + ▽△ + △ + ◎✓</x:v>
      </x:c>
      <x:c r="N233" t="str">
        <x:v>O(Receiver activator) with O(Receiver activator): OPEN in model.</x:v>
      </x:c>
    </x:row>
    <x:row r="234">
      <x:c r="A234" t="str">
        <x:v>O</x:v>
      </x:c>
      <x:c r="B234" t="str">
        <x:v>F</x:v>
      </x:c>
      <x:c r="C234" t="str">
        <x:v>Receiver activator</x:v>
      </x:c>
      <x:c r="D234" t="str">
        <x:v>Strong receiver</x:v>
      </x:c>
      <x:c r="E234" t="str">
        <x:v>▽△</x:v>
      </x:c>
      <x:c r="F234" t="str">
        <x:v>▽◎</x:v>
      </x:c>
      <x:c r="G234" t="n">
        <x:v>70.6</x:v>
      </x:c>
      <x:c r="H234" t="n">
        <x:v>18</x:v>
      </x:c>
      <x:c r="I234" t="n">
        <x:v>8.5</x:v>
      </x:c>
      <x:c r="J234" t="n">
        <x:v>25.5</x:v>
      </x:c>
      <x:c r="K234" t="n">
        <x:v>100</x:v>
      </x:c>
      <x:c r="L234" t="str">
        <x:v>OPEN</x:v>
      </x:c>
      <x:c r="M234" t="str">
        <x:v>▽△ + ▽◎ + △ + ◎✓</x:v>
      </x:c>
      <x:c r="N234" t="str">
        <x:v>O(Receiver activator) with F(Strong receiver): OPEN in model.</x:v>
      </x:c>
    </x:row>
    <x:row r="235">
      <x:c r="A235" t="str">
        <x:v>O</x:v>
      </x:c>
      <x:c r="B235" t="str">
        <x:v>Ne</x:v>
      </x:c>
      <x:c r="C235" t="str">
        <x:v>Receiver activator</x:v>
      </x:c>
      <x:c r="D235" t="str">
        <x:v>Closed Gate</x:v>
      </x:c>
      <x:c r="E235" t="str">
        <x:v>▽△</x:v>
      </x:c>
      <x:c r="F235" t="str">
        <x:v>◎✓</x:v>
      </x:c>
      <x:c r="G235" t="n">
        <x:v>4.1</x:v>
      </x:c>
      <x:c r="H235" t="n">
        <x:v>11</x:v>
      </x:c>
      <x:c r="I235" t="n">
        <x:v>4</x:v>
      </x:c>
      <x:c r="J235" t="n">
        <x:v>32.5</x:v>
      </x:c>
      <x:c r="K235" t="n">
        <x:v>43.6</x:v>
      </x:c>
      <x:c r="L235" t="str">
        <x:v>REPAIR</x:v>
      </x:c>
      <x:c r="M235" t="str">
        <x:v>▽△ + ◎✓ + △ + ↺</x:v>
      </x:c>
      <x:c r="N235" t="str">
        <x:v>O(Receiver activator) with Ne(Closed Gate): REPAIR in model.</x:v>
      </x:c>
    </x:row>
    <x:row r="236">
      <x:c r="A236" t="str">
        <x:v>O</x:v>
      </x:c>
      <x:c r="B236" t="str">
        <x:v>Na</x:v>
      </x:c>
      <x:c r="C236" t="str">
        <x:v>Receiver activator</x:v>
      </x:c>
      <x:c r="D236" t="str">
        <x:v>Strong donor</x:v>
      </x:c>
      <x:c r="E236" t="str">
        <x:v>▽△</x:v>
      </x:c>
      <x:c r="F236" t="str">
        <x:v>△ᛏ</x:v>
      </x:c>
      <x:c r="G236" t="n">
        <x:v>46.2</x:v>
      </x:c>
      <x:c r="H236" t="n">
        <x:v>17</x:v>
      </x:c>
      <x:c r="I236" t="n">
        <x:v>9</x:v>
      </x:c>
      <x:c r="J236" t="n">
        <x:v>19</x:v>
      </x:c>
      <x:c r="K236" t="n">
        <x:v>73.2</x:v>
      </x:c>
      <x:c r="L236" t="str">
        <x:v>ASK</x:v>
      </x:c>
      <x:c r="M236" t="str">
        <x:v>▽△ + △ᛏ + △ + ◎?</x:v>
      </x:c>
      <x:c r="N236" t="str">
        <x:v>O(Receiver activator) with Na(Strong donor): ASK in model.</x:v>
      </x:c>
    </x:row>
    <x:row r="237">
      <x:c r="A237" t="str">
        <x:v>O</x:v>
      </x:c>
      <x:c r="B237" t="str">
        <x:v>Mg</x:v>
      </x:c>
      <x:c r="C237" t="str">
        <x:v>Receiver activator</x:v>
      </x:c>
      <x:c r="D237" t="str">
        <x:v>Structure donor</x:v>
      </x:c>
      <x:c r="E237" t="str">
        <x:v>▽△</x:v>
      </x:c>
      <x:c r="F237" t="str">
        <x:v>□△</x:v>
      </x:c>
      <x:c r="G237" t="n">
        <x:v>37.9</x:v>
      </x:c>
      <x:c r="H237" t="n">
        <x:v>15</x:v>
      </x:c>
      <x:c r="I237" t="n">
        <x:v>7</x:v>
      </x:c>
      <x:c r="J237" t="n">
        <x:v>23.5</x:v>
      </x:c>
      <x:c r="K237" t="n">
        <x:v>69.4</x:v>
      </x:c>
      <x:c r="L237" t="str">
        <x:v>ASK</x:v>
      </x:c>
      <x:c r="M237" t="str">
        <x:v>▽△ + □△ + △ + ◎?</x:v>
      </x:c>
      <x:c r="N237" t="str">
        <x:v>O(Receiver activator) with Mg(Structure donor): ASK in model.</x:v>
      </x:c>
    </x:row>
    <x:row r="238">
      <x:c r="A238" t="str">
        <x:v>O</x:v>
      </x:c>
      <x:c r="B238" t="str">
        <x:v>Al</x:v>
      </x:c>
      <x:c r="C238" t="str">
        <x:v>Receiver activator</x:v>
      </x:c>
      <x:c r="D238" t="str">
        <x:v>Form builder</x:v>
      </x:c>
      <x:c r="E238" t="str">
        <x:v>▽△</x:v>
      </x:c>
      <x:c r="F238" t="str">
        <x:v>□◎</x:v>
      </x:c>
      <x:c r="G238" t="n">
        <x:v>38.4</x:v>
      </x:c>
      <x:c r="H238" t="n">
        <x:v>13</x:v>
      </x:c>
      <x:c r="I238" t="n">
        <x:v>6</x:v>
      </x:c>
      <x:c r="J238" t="n">
        <x:v>25.5</x:v>
      </x:c>
      <x:c r="K238" t="n">
        <x:v>70.9</x:v>
      </x:c>
      <x:c r="L238" t="str">
        <x:v>ASK</x:v>
      </x:c>
      <x:c r="M238" t="str">
        <x:v>▽△ + □◎ + △ + ◎?</x:v>
      </x:c>
      <x:c r="N238" t="str">
        <x:v>O(Receiver activator) with Al(Form builder): ASK in model.</x:v>
      </x:c>
    </x:row>
    <x:row r="239">
      <x:c r="A239" t="str">
        <x:v>O</x:v>
      </x:c>
      <x:c r="B239" t="str">
        <x:v>Si</x:v>
      </x:c>
      <x:c r="C239" t="str">
        <x:v>Receiver activator</x:v>
      </x:c>
      <x:c r="D239" t="str">
        <x:v>Lattice engineer</x:v>
      </x:c>
      <x:c r="E239" t="str">
        <x:v>▽△</x:v>
      </x:c>
      <x:c r="F239" t="str">
        <x:v>□◉</x:v>
      </x:c>
      <x:c r="G239" t="n">
        <x:v>34.8</x:v>
      </x:c>
      <x:c r="H239" t="n">
        <x:v>10</x:v>
      </x:c>
      <x:c r="I239" t="n">
        <x:v>5.5</x:v>
      </x:c>
      <x:c r="J239" t="n">
        <x:v>28</x:v>
      </x:c>
      <x:c r="K239" t="n">
        <x:v>67.3</x:v>
      </x:c>
      <x:c r="L239" t="str">
        <x:v>ASK</x:v>
      </x:c>
      <x:c r="M239" t="str">
        <x:v>▽△ + □◉ + △ + ◎?</x:v>
      </x:c>
      <x:c r="N239" t="str">
        <x:v>O(Receiver activator) with Si(Lattice engineer): ASK in model.</x:v>
      </x:c>
    </x:row>
    <x:row r="240">
      <x:c r="A240" t="str">
        <x:v>O</x:v>
      </x:c>
      <x:c r="B240" t="str">
        <x:v>P</x:v>
      </x:c>
      <x:c r="C240" t="str">
        <x:v>Receiver activator</x:v>
      </x:c>
      <x:c r="D240" t="str">
        <x:v>Energy memory</x:v>
      </x:c>
      <x:c r="E240" t="str">
        <x:v>▽△</x:v>
      </x:c>
      <x:c r="F240" t="str">
        <x:v>◉△</x:v>
      </x:c>
      <x:c r="G240" t="n">
        <x:v>53.6</x:v>
      </x:c>
      <x:c r="H240" t="n">
        <x:v>17</x:v>
      </x:c>
      <x:c r="I240" t="n">
        <x:v>7.5</x:v>
      </x:c>
      <x:c r="J240" t="n">
        <x:v>25.5</x:v>
      </x:c>
      <x:c r="K240" t="n">
        <x:v>88.6</x:v>
      </x:c>
      <x:c r="L240" t="str">
        <x:v>OPEN</x:v>
      </x:c>
      <x:c r="M240" t="str">
        <x:v>▽△ + ◉△ + △ + ◎✓</x:v>
      </x:c>
      <x:c r="N240" t="str">
        <x:v>O(Receiver activator) with P(Energy memory): OPEN in model.</x:v>
      </x:c>
    </x:row>
    <x:row r="241">
      <x:c r="A241" t="str">
        <x:v>O</x:v>
      </x:c>
      <x:c r="B241" t="str">
        <x:v>S</x:v>
      </x:c>
      <x:c r="C241" t="str">
        <x:v>Receiver activator</x:v>
      </x:c>
      <x:c r="D241" t="str">
        <x:v>Connector phase</x:v>
      </x:c>
      <x:c r="E241" t="str">
        <x:v>▽△</x:v>
      </x:c>
      <x:c r="F241" t="str">
        <x:v>↺▽</x:v>
      </x:c>
      <x:c r="G241" t="n">
        <x:v>50.6</x:v>
      </x:c>
      <x:c r="H241" t="n">
        <x:v>16</x:v>
      </x:c>
      <x:c r="I241" t="n">
        <x:v>7</x:v>
      </x:c>
      <x:c r="J241" t="n">
        <x:v>25</x:v>
      </x:c>
      <x:c r="K241" t="n">
        <x:v>84.6</x:v>
      </x:c>
      <x:c r="L241" t="str">
        <x:v>OPEN</x:v>
      </x:c>
      <x:c r="M241" t="str">
        <x:v>▽△ + ↺▽ + △ + ◎✓</x:v>
      </x:c>
      <x:c r="N241" t="str">
        <x:v>O(Receiver activator) with S(Connector phase): OPEN in model.</x:v>
      </x:c>
    </x:row>
    <x:row r="242">
      <x:c r="A242" t="str">
        <x:v>O</x:v>
      </x:c>
      <x:c r="B242" t="str">
        <x:v>Cl</x:v>
      </x:c>
      <x:c r="C242" t="str">
        <x:v>Receiver activator</x:v>
      </x:c>
      <x:c r="D242" t="str">
        <x:v>Receiver closure</x:v>
      </x:c>
      <x:c r="E242" t="str">
        <x:v>▽△</x:v>
      </x:c>
      <x:c r="F242" t="str">
        <x:v>▽◎</x:v>
      </x:c>
      <x:c r="G242" t="n">
        <x:v>66.5</x:v>
      </x:c>
      <x:c r="H242" t="n">
        <x:v>19</x:v>
      </x:c>
      <x:c r="I242" t="n">
        <x:v>8</x:v>
      </x:c>
      <x:c r="J242" t="n">
        <x:v>26</x:v>
      </x:c>
      <x:c r="K242" t="n">
        <x:v>100</x:v>
      </x:c>
      <x:c r="L242" t="str">
        <x:v>OPEN</x:v>
      </x:c>
      <x:c r="M242" t="str">
        <x:v>▽△ + ▽◎ + △ + ◎✓</x:v>
      </x:c>
      <x:c r="N242" t="str">
        <x:v>O(Receiver activator) with Cl(Receiver closure): OPEN in model.</x:v>
      </x:c>
    </x:row>
    <x:row r="243">
      <x:c r="A243" t="str">
        <x:v>O</x:v>
      </x:c>
      <x:c r="B243" t="str">
        <x:v>Ar</x:v>
      </x:c>
      <x:c r="C243" t="str">
        <x:v>Receiver activator</x:v>
      </x:c>
      <x:c r="D243" t="str">
        <x:v>Closed Gate</x:v>
      </x:c>
      <x:c r="E243" t="str">
        <x:v>▽△</x:v>
      </x:c>
      <x:c r="F243" t="str">
        <x:v>◎✓</x:v>
      </x:c>
      <x:c r="G243" t="n">
        <x:v>4.1</x:v>
      </x:c>
      <x:c r="H243" t="n">
        <x:v>11</x:v>
      </x:c>
      <x:c r="I243" t="n">
        <x:v>4</x:v>
      </x:c>
      <x:c r="J243" t="n">
        <x:v>32.5</x:v>
      </x:c>
      <x:c r="K243" t="n">
        <x:v>43.6</x:v>
      </x:c>
      <x:c r="L243" t="str">
        <x:v>REPAIR</x:v>
      </x:c>
      <x:c r="M243" t="str">
        <x:v>▽△ + ◎✓ + △ + ↺</x:v>
      </x:c>
      <x:c r="N243" t="str">
        <x:v>O(Receiver activator) with Ar(Closed Gate): REPAIR in model.</x:v>
      </x:c>
    </x:row>
    <x:row r="244">
      <x:c r="A244" t="str">
        <x:v>O</x:v>
      </x:c>
      <x:c r="B244" t="str">
        <x:v>K</x:v>
      </x:c>
      <x:c r="C244" t="str">
        <x:v>Receiver activator</x:v>
      </x:c>
      <x:c r="D244" t="str">
        <x:v>Heavy opener</x:v>
      </x:c>
      <x:c r="E244" t="str">
        <x:v>▽△</x:v>
      </x:c>
      <x:c r="F244" t="str">
        <x:v>△ᛏ</x:v>
      </x:c>
      <x:c r="G244" t="n">
        <x:v>48.6</x:v>
      </x:c>
      <x:c r="H244" t="n">
        <x:v>17</x:v>
      </x:c>
      <x:c r="I244" t="n">
        <x:v>10</x:v>
      </x:c>
      <x:c r="J244" t="n">
        <x:v>18</x:v>
      </x:c>
      <x:c r="K244" t="n">
        <x:v>73.6</x:v>
      </x:c>
      <x:c r="L244" t="str">
        <x:v>ASK</x:v>
      </x:c>
      <x:c r="M244" t="str">
        <x:v>▽△ + △ᛏ + △ + ◎?</x:v>
      </x:c>
      <x:c r="N244" t="str">
        <x:v>O(Receiver activator) with K(Heavy opener): ASK in model.</x:v>
      </x:c>
    </x:row>
    <x:row r="245">
      <x:c r="A245" t="str">
        <x:v>O</x:v>
      </x:c>
      <x:c r="B245" t="str">
        <x:v>Ca</x:v>
      </x:c>
      <x:c r="C245" t="str">
        <x:v>Receiver activator</x:v>
      </x:c>
      <x:c r="D245" t="str">
        <x:v>Tank structure</x:v>
      </x:c>
      <x:c r="E245" t="str">
        <x:v>▽△</x:v>
      </x:c>
      <x:c r="F245" t="str">
        <x:v>ᛉ□</x:v>
      </x:c>
      <x:c r="G245" t="n">
        <x:v>37.2</x:v>
      </x:c>
      <x:c r="H245" t="n">
        <x:v>13</x:v>
      </x:c>
      <x:c r="I245" t="n">
        <x:v>6.5</x:v>
      </x:c>
      <x:c r="J245" t="n">
        <x:v>25.5</x:v>
      </x:c>
      <x:c r="K245" t="n">
        <x:v>69.2</x:v>
      </x:c>
      <x:c r="L245" t="str">
        <x:v>ASK</x:v>
      </x:c>
      <x:c r="M245" t="str">
        <x:v>▽△ + ᛉ□ + △ + ◎?</x:v>
      </x:c>
      <x:c r="N245" t="str">
        <x:v>O(Receiver activator) with Ca(Tank structure): ASK in model.</x:v>
      </x:c>
    </x:row>
    <x:row r="246">
      <x:c r="A246" t="str">
        <x:v>O</x:v>
      </x:c>
      <x:c r="B246" t="str">
        <x:v>Sc</x:v>
      </x:c>
      <x:c r="C246" t="str">
        <x:v>Receiver activator</x:v>
      </x:c>
      <x:c r="D246" t="str">
        <x:v>Transition bridge</x:v>
      </x:c>
      <x:c r="E246" t="str">
        <x:v>▽△</x:v>
      </x:c>
      <x:c r="F246" t="str">
        <x:v>↺□</x:v>
      </x:c>
      <x:c r="G246" t="n">
        <x:v>38.4</x:v>
      </x:c>
      <x:c r="H246" t="n">
        <x:v>14</x:v>
      </x:c>
      <x:c r="I246" t="n">
        <x:v>6.5</x:v>
      </x:c>
      <x:c r="J246" t="n">
        <x:v>25</x:v>
      </x:c>
      <x:c r="K246" t="n">
        <x:v>70.9</x:v>
      </x:c>
      <x:c r="L246" t="str">
        <x:v>ASK</x:v>
      </x:c>
      <x:c r="M246" t="str">
        <x:v>▽△ + ↺□ + △ + ◎?</x:v>
      </x:c>
      <x:c r="N246" t="str">
        <x:v>O(Receiver activator) with Sc(Transition bridge): ASK in model.</x:v>
      </x:c>
    </x:row>
    <x:row r="247">
      <x:c r="A247" t="str">
        <x:v>O</x:v>
      </x:c>
      <x:c r="B247" t="str">
        <x:v>Ti</x:v>
      </x:c>
      <x:c r="C247" t="str">
        <x:v>Receiver activator</x:v>
      </x:c>
      <x:c r="D247" t="str">
        <x:v>Strong structure</x:v>
      </x:c>
      <x:c r="E247" t="str">
        <x:v>▽△</x:v>
      </x:c>
      <x:c r="F247" t="str">
        <x:v>ᛉ□</x:v>
      </x:c>
      <x:c r="G247" t="n">
        <x:v>38.4</x:v>
      </x:c>
      <x:c r="H247" t="n">
        <x:v>11</x:v>
      </x:c>
      <x:c r="I247" t="n">
        <x:v>5.5</x:v>
      </x:c>
      <x:c r="J247" t="n">
        <x:v>28</x:v>
      </x:c>
      <x:c r="K247" t="n">
        <x:v>71.9</x:v>
      </x:c>
      <x:c r="L247" t="str">
        <x:v>ASK</x:v>
      </x:c>
      <x:c r="M247" t="str">
        <x:v>▽△ + ᛉ□ + △ + ◎?</x:v>
      </x:c>
      <x:c r="N247" t="str">
        <x:v>O(Receiver activator) with Ti(Strong structure): ASK in model.</x:v>
      </x:c>
    </x:row>
    <x:row r="248">
      <x:c r="A248" t="str">
        <x:v>O</x:v>
      </x:c>
      <x:c r="B248" t="str">
        <x:v>V</x:v>
      </x:c>
      <x:c r="C248" t="str">
        <x:v>Receiver activator</x:v>
      </x:c>
      <x:c r="D248" t="str">
        <x:v>Multi-state gate</x:v>
      </x:c>
      <x:c r="E248" t="str">
        <x:v>▽△</x:v>
      </x:c>
      <x:c r="F248" t="str">
        <x:v>◎↺</x:v>
      </x:c>
      <x:c r="G248" t="n">
        <x:v>46.6</x:v>
      </x:c>
      <x:c r="H248" t="n">
        <x:v>14</x:v>
      </x:c>
      <x:c r="I248" t="n">
        <x:v>8</x:v>
      </x:c>
      <x:c r="J248" t="n">
        <x:v>25.5</x:v>
      </x:c>
      <x:c r="K248" t="n">
        <x:v>78.1</x:v>
      </x:c>
      <x:c r="L248" t="str">
        <x:v>OPEN</x:v>
      </x:c>
      <x:c r="M248" t="str">
        <x:v>▽△ + ◎↺ + △ + ◎✓</x:v>
      </x:c>
      <x:c r="N248" t="str">
        <x:v>O(Receiver activator) with V(Multi-state gate): OPEN in model.</x:v>
      </x:c>
    </x:row>
    <x:row r="249">
      <x:c r="A249" t="str">
        <x:v>O</x:v>
      </x:c>
      <x:c r="B249" t="str">
        <x:v>Cr</x:v>
      </x:c>
      <x:c r="C249" t="str">
        <x:v>Receiver activator</x:v>
      </x:c>
      <x:c r="D249" t="str">
        <x:v>Surface guardian</x:v>
      </x:c>
      <x:c r="E249" t="str">
        <x:v>▽△</x:v>
      </x:c>
      <x:c r="F249" t="str">
        <x:v>ᛉ◎</x:v>
      </x:c>
      <x:c r="G249" t="n">
        <x:v>44.2</x:v>
      </x:c>
      <x:c r="H249" t="n">
        <x:v>12</x:v>
      </x:c>
      <x:c r="I249" t="n">
        <x:v>7</x:v>
      </x:c>
      <x:c r="J249" t="n">
        <x:v>28</x:v>
      </x:c>
      <x:c r="K249" t="n">
        <x:v>77.2</x:v>
      </x:c>
      <x:c r="L249" t="str">
        <x:v>OPEN</x:v>
      </x:c>
      <x:c r="M249" t="str">
        <x:v>▽△ + ᛉ◎ + △ + ◎✓</x:v>
      </x:c>
      <x:c r="N249" t="str">
        <x:v>O(Receiver activator) with Cr(Surface guardian): OPEN in model.</x:v>
      </x:c>
    </x:row>
    <x:row r="250">
      <x:c r="A250" t="str">
        <x:v>O</x:v>
      </x:c>
      <x:c r="B250" t="str">
        <x:v>Mn</x:v>
      </x:c>
      <x:c r="C250" t="str">
        <x:v>Receiver activator</x:v>
      </x:c>
      <x:c r="D250" t="str">
        <x:v>Redox archer</x:v>
      </x:c>
      <x:c r="E250" t="str">
        <x:v>▽△</x:v>
      </x:c>
      <x:c r="F250" t="str">
        <x:v>ᛏ↺</x:v>
      </x:c>
      <x:c r="G250" t="n">
        <x:v>54.9</x:v>
      </x:c>
      <x:c r="H250" t="n">
        <x:v>16</x:v>
      </x:c>
      <x:c r="I250" t="n">
        <x:v>9</x:v>
      </x:c>
      <x:c r="J250" t="n">
        <x:v>24</x:v>
      </x:c>
      <x:c r="K250" t="n">
        <x:v>85.9</x:v>
      </x:c>
      <x:c r="L250" t="str">
        <x:v>OPEN</x:v>
      </x:c>
      <x:c r="M250" t="str">
        <x:v>▽△ + ᛏ↺ + △ + ◎✓</x:v>
      </x:c>
      <x:c r="N250" t="str">
        <x:v>O(Receiver activator) with Mn(Redox archer): OPEN in model.</x:v>
      </x:c>
    </x:row>
    <x:row r="251">
      <x:c r="A251" t="str">
        <x:v>O</x:v>
      </x:c>
      <x:c r="B251" t="str">
        <x:v>Fe</x:v>
      </x:c>
      <x:c r="C251" t="str">
        <x:v>Receiver activator</x:v>
      </x:c>
      <x:c r="D251" t="str">
        <x:v>Tank memory</x:v>
      </x:c>
      <x:c r="E251" t="str">
        <x:v>▽△</x:v>
      </x:c>
      <x:c r="F251" t="str">
        <x:v>ᛉ◉</x:v>
      </x:c>
      <x:c r="G251" t="n">
        <x:v>50.1</x:v>
      </x:c>
      <x:c r="H251" t="n">
        <x:v>11</x:v>
      </x:c>
      <x:c r="I251" t="n">
        <x:v>7</x:v>
      </x:c>
      <x:c r="J251" t="n">
        <x:v>27</x:v>
      </x:c>
      <x:c r="K251" t="n">
        <x:v>81.1</x:v>
      </x:c>
      <x:c r="L251" t="str">
        <x:v>OPEN</x:v>
      </x:c>
      <x:c r="M251" t="str">
        <x:v>▽△ + ᛉ◉ + △ + ◎✓</x:v>
      </x:c>
      <x:c r="N251" t="str">
        <x:v>O(Receiver activator) with Fe(Tank memory): OPEN in model.</x:v>
      </x:c>
    </x:row>
    <x:row r="252">
      <x:c r="A252" t="str">
        <x:v>O</x:v>
      </x:c>
      <x:c r="B252" t="str">
        <x:v>Co</x:v>
      </x:c>
      <x:c r="C252" t="str">
        <x:v>Receiver activator</x:v>
      </x:c>
      <x:c r="D252" t="str">
        <x:v>Magnetic bridge</x:v>
      </x:c>
      <x:c r="E252" t="str">
        <x:v>▽△</x:v>
      </x:c>
      <x:c r="F252" t="str">
        <x:v>◉ᛉ</x:v>
      </x:c>
      <x:c r="G252" t="n">
        <x:v>46</x:v>
      </x:c>
      <x:c r="H252" t="n">
        <x:v>12</x:v>
      </x:c>
      <x:c r="I252" t="n">
        <x:v>7</x:v>
      </x:c>
      <x:c r="J252" t="n">
        <x:v>26.5</x:v>
      </x:c>
      <x:c r="K252" t="n">
        <x:v>77.5</x:v>
      </x:c>
      <x:c r="L252" t="str">
        <x:v>OPEN</x:v>
      </x:c>
      <x:c r="M252" t="str">
        <x:v>▽△ + ◉ᛉ + △ + ◎✓</x:v>
      </x:c>
      <x:c r="N252" t="str">
        <x:v>O(Receiver activator) with Co(Magnetic bridge): OPEN in model.</x:v>
      </x:c>
    </x:row>
    <x:row r="253">
      <x:c r="A253" t="str">
        <x:v>O</x:v>
      </x:c>
      <x:c r="B253" t="str">
        <x:v>Ni</x:v>
      </x:c>
      <x:c r="C253" t="str">
        <x:v>Receiver activator</x:v>
      </x:c>
      <x:c r="D253" t="str">
        <x:v>Catalytic guard</x:v>
      </x:c>
      <x:c r="E253" t="str">
        <x:v>▽△</x:v>
      </x:c>
      <x:c r="F253" t="str">
        <x:v>◎↺</x:v>
      </x:c>
      <x:c r="G253" t="n">
        <x:v>45.4</x:v>
      </x:c>
      <x:c r="H253" t="n">
        <x:v>12</x:v>
      </x:c>
      <x:c r="I253" t="n">
        <x:v>6.5</x:v>
      </x:c>
      <x:c r="J253" t="n">
        <x:v>27.5</x:v>
      </x:c>
      <x:c r="K253" t="n">
        <x:v>78.4</x:v>
      </x:c>
      <x:c r="L253" t="str">
        <x:v>OPEN</x:v>
      </x:c>
      <x:c r="M253" t="str">
        <x:v>▽△ + ◎↺ + △ + ◎✓</x:v>
      </x:c>
      <x:c r="N253" t="str">
        <x:v>O(Receiver activator) with Ni(Catalytic guard): OPEN in model.</x:v>
      </x:c>
    </x:row>
    <x:row r="254">
      <x:c r="A254" t="str">
        <x:v>O</x:v>
      </x:c>
      <x:c r="B254" t="str">
        <x:v>Cu</x:v>
      </x:c>
      <x:c r="C254" t="str">
        <x:v>Receiver activator</x:v>
      </x:c>
      <x:c r="D254" t="str">
        <x:v>Conductor flow</x:v>
      </x:c>
      <x:c r="E254" t="str">
        <x:v>▽△</x:v>
      </x:c>
      <x:c r="F254" t="str">
        <x:v>↺ᛏ</x:v>
      </x:c>
      <x:c r="G254" t="n">
        <x:v>47.8</x:v>
      </x:c>
      <x:c r="H254" t="n">
        <x:v>14</x:v>
      </x:c>
      <x:c r="I254" t="n">
        <x:v>6</x:v>
      </x:c>
      <x:c r="J254" t="n">
        <x:v>26.5</x:v>
      </x:c>
      <x:c r="K254" t="n">
        <x:v>82.3</x:v>
      </x:c>
      <x:c r="L254" t="str">
        <x:v>OPEN</x:v>
      </x:c>
      <x:c r="M254" t="str">
        <x:v>▽△ + ↺ᛏ + △ + ◎✓</x:v>
      </x:c>
      <x:c r="N254" t="str">
        <x:v>O(Receiver activator) with Cu(Conductor flow): OPEN in model.</x:v>
      </x:c>
    </x:row>
    <x:row r="255">
      <x:c r="A255" t="str">
        <x:v>O</x:v>
      </x:c>
      <x:c r="B255" t="str">
        <x:v>Zn</x:v>
      </x:c>
      <x:c r="C255" t="str">
        <x:v>Receiver activator</x:v>
      </x:c>
      <x:c r="D255" t="str">
        <x:v>Enzyme stabilizer</x:v>
      </x:c>
      <x:c r="E255" t="str">
        <x:v>▽△</x:v>
      </x:c>
      <x:c r="F255" t="str">
        <x:v>◎□</x:v>
      </x:c>
      <x:c r="G255" t="n">
        <x:v>34.8</x:v>
      </x:c>
      <x:c r="H255" t="n">
        <x:v>12</x:v>
      </x:c>
      <x:c r="I255" t="n">
        <x:v>5.5</x:v>
      </x:c>
      <x:c r="J255" t="n">
        <x:v>29.5</x:v>
      </x:c>
      <x:c r="K255" t="n">
        <x:v>70.8</x:v>
      </x:c>
      <x:c r="L255" t="str">
        <x:v>ASK</x:v>
      </x:c>
      <x:c r="M255" t="str">
        <x:v>▽△ + ◎□ + △ + ◎?</x:v>
      </x:c>
      <x:c r="N255" t="str">
        <x:v>O(Receiver activator) with Zn(Enzyme stabilizer): ASK in model.</x:v>
      </x:c>
    </x:row>
    <x:row r="256">
      <x:c r="A256" t="str">
        <x:v>O</x:v>
      </x:c>
      <x:c r="B256" t="str">
        <x:v>Ga</x:v>
      </x:c>
      <x:c r="C256" t="str">
        <x:v>Receiver activator</x:v>
      </x:c>
      <x:c r="D256" t="str">
        <x:v>Soft form gate</x:v>
      </x:c>
      <x:c r="E256" t="str">
        <x:v>▽△</x:v>
      </x:c>
      <x:c r="F256" t="str">
        <x:v>□↺</x:v>
      </x:c>
      <x:c r="G256" t="n">
        <x:v>35.4</x:v>
      </x:c>
      <x:c r="H256" t="n">
        <x:v>15</x:v>
      </x:c>
      <x:c r="I256" t="n">
        <x:v>6.5</x:v>
      </x:c>
      <x:c r="J256" t="n">
        <x:v>24.5</x:v>
      </x:c>
      <x:c r="K256" t="n">
        <x:v>68.4</x:v>
      </x:c>
      <x:c r="L256" t="str">
        <x:v>ASK</x:v>
      </x:c>
      <x:c r="M256" t="str">
        <x:v>▽△ + □↺ + △ + ◎?</x:v>
      </x:c>
      <x:c r="N256" t="str">
        <x:v>O(Receiver activator) with Ga(Soft form gate): ASK in model.</x:v>
      </x:c>
    </x:row>
    <x:row r="257">
      <x:c r="A257" t="str">
        <x:v>O</x:v>
      </x:c>
      <x:c r="B257" t="str">
        <x:v>Ge</x:v>
      </x:c>
      <x:c r="C257" t="str">
        <x:v>Receiver activator</x:v>
      </x:c>
      <x:c r="D257" t="str">
        <x:v>Semi lattice</x:v>
      </x:c>
      <x:c r="E257" t="str">
        <x:v>▽△</x:v>
      </x:c>
      <x:c r="F257" t="str">
        <x:v>□◎</x:v>
      </x:c>
      <x:c r="G257" t="n">
        <x:v>34.8</x:v>
      </x:c>
      <x:c r="H257" t="n">
        <x:v>12</x:v>
      </x:c>
      <x:c r="I257" t="n">
        <x:v>6</x:v>
      </x:c>
      <x:c r="J257" t="n">
        <x:v>27</x:v>
      </x:c>
      <x:c r="K257" t="n">
        <x:v>67.8</x:v>
      </x:c>
      <x:c r="L257" t="str">
        <x:v>ASK</x:v>
      </x:c>
      <x:c r="M257" t="str">
        <x:v>▽△ + □◎ + △ + ◎?</x:v>
      </x:c>
      <x:c r="N257" t="str">
        <x:v>O(Receiver activator) with Ge(Semi lattice): ASK in model.</x:v>
      </x:c>
    </x:row>
    <x:row r="258">
      <x:c r="A258" t="str">
        <x:v>O</x:v>
      </x:c>
      <x:c r="B258" t="str">
        <x:v>As</x:v>
      </x:c>
      <x:c r="C258" t="str">
        <x:v>Receiver activator</x:v>
      </x:c>
      <x:c r="D258" t="str">
        <x:v>Shadow gate</x:v>
      </x:c>
      <x:c r="E258" t="str">
        <x:v>▽△</x:v>
      </x:c>
      <x:c r="F258" t="str">
        <x:v>∅◎</x:v>
      </x:c>
      <x:c r="G258" t="n">
        <x:v>43</x:v>
      </x:c>
      <x:c r="H258" t="n">
        <x:v>16</x:v>
      </x:c>
      <x:c r="I258" t="n">
        <x:v>11</x:v>
      </x:c>
      <x:c r="J258" t="n">
        <x:v>22</x:v>
      </x:c>
      <x:c r="K258" t="n">
        <x:v>70</x:v>
      </x:c>
      <x:c r="L258" t="str">
        <x:v>ASK</x:v>
      </x:c>
      <x:c r="M258" t="str">
        <x:v>▽△ + ∅◎ + △ + ◎?</x:v>
      </x:c>
      <x:c r="N258" t="str">
        <x:v>O(Receiver activator) with As(Shadow gate): ASK in model.</x:v>
      </x:c>
    </x:row>
    <x:row r="259">
      <x:c r="A259" t="str">
        <x:v>O</x:v>
      </x:c>
      <x:c r="B259" t="str">
        <x:v>Se</x:v>
      </x:c>
      <x:c r="C259" t="str">
        <x:v>Receiver activator</x:v>
      </x:c>
      <x:c r="D259" t="str">
        <x:v>Trace healer</x:v>
      </x:c>
      <x:c r="E259" t="str">
        <x:v>▽△</x:v>
      </x:c>
      <x:c r="F259" t="str">
        <x:v>↺◉</x:v>
      </x:c>
      <x:c r="G259" t="n">
        <x:v>44.1</x:v>
      </x:c>
      <x:c r="H259" t="n">
        <x:v>16</x:v>
      </x:c>
      <x:c r="I259" t="n">
        <x:v>7.5</x:v>
      </x:c>
      <x:c r="J259" t="n">
        <x:v>25.5</x:v>
      </x:c>
      <x:c r="K259" t="n">
        <x:v>78.1</x:v>
      </x:c>
      <x:c r="L259" t="str">
        <x:v>OPEN</x:v>
      </x:c>
      <x:c r="M259" t="str">
        <x:v>▽△ + ↺◉ + △ + ◎✓</x:v>
      </x:c>
      <x:c r="N259" t="str">
        <x:v>O(Receiver activator) with Se(Trace healer): OPEN in model.</x:v>
      </x:c>
    </x:row>
    <x:row r="260">
      <x:c r="A260" t="str">
        <x:v>O</x:v>
      </x:c>
      <x:c r="B260" t="str">
        <x:v>Br</x:v>
      </x:c>
      <x:c r="C260" t="str">
        <x:v>Receiver activator</x:v>
      </x:c>
      <x:c r="D260" t="str">
        <x:v>Heavy receiver</x:v>
      </x:c>
      <x:c r="E260" t="str">
        <x:v>▽△</x:v>
      </x:c>
      <x:c r="F260" t="str">
        <x:v>▽∅</x:v>
      </x:c>
      <x:c r="G260" t="n">
        <x:v>62.4</x:v>
      </x:c>
      <x:c r="H260" t="n">
        <x:v>20</x:v>
      </x:c>
      <x:c r="I260" t="n">
        <x:v>9</x:v>
      </x:c>
      <x:c r="J260" t="n">
        <x:v>24.5</x:v>
      </x:c>
      <x:c r="K260" t="n">
        <x:v>97.9</x:v>
      </x:c>
      <x:c r="L260" t="str">
        <x:v>OPEN</x:v>
      </x:c>
      <x:c r="M260" t="str">
        <x:v>▽△ + ▽∅ + △ + ◎✓</x:v>
      </x:c>
      <x:c r="N260" t="str">
        <x:v>O(Receiver activator) with Br(Heavy receiver): OPEN in model.</x:v>
      </x:c>
    </x:row>
    <x:row r="261">
      <x:c r="A261" t="str">
        <x:v>O</x:v>
      </x:c>
      <x:c r="B261" t="str">
        <x:v>Kr</x:v>
      </x:c>
      <x:c r="C261" t="str">
        <x:v>Receiver activator</x:v>
      </x:c>
      <x:c r="D261" t="str">
        <x:v>Closed Gate light</x:v>
      </x:c>
      <x:c r="E261" t="str">
        <x:v>▽△</x:v>
      </x:c>
      <x:c r="F261" t="str">
        <x:v>◎✓</x:v>
      </x:c>
      <x:c r="G261" t="n">
        <x:v>4.1</x:v>
      </x:c>
      <x:c r="H261" t="n">
        <x:v>11</x:v>
      </x:c>
      <x:c r="I261" t="n">
        <x:v>4</x:v>
      </x:c>
      <x:c r="J261" t="n">
        <x:v>32.5</x:v>
      </x:c>
      <x:c r="K261" t="n">
        <x:v>43.6</x:v>
      </x:c>
      <x:c r="L261" t="str">
        <x:v>REPAIR</x:v>
      </x:c>
      <x:c r="M261" t="str">
        <x:v>▽△ + ◎✓ + △ + ↺</x:v>
      </x:c>
      <x:c r="N261" t="str">
        <x:v>O(Receiver activator) with Kr(Closed Gate light): REPAIR in model.</x:v>
      </x:c>
    </x:row>
    <x:row r="262">
      <x:c r="A262" t="str">
        <x:v>F</x:v>
      </x:c>
      <x:c r="B262" t="str">
        <x:v>F</x:v>
      </x:c>
      <x:c r="C262" t="str">
        <x:v>Strong receiver</x:v>
      </x:c>
      <x:c r="D262" t="str">
        <x:v>Strong receiver</x:v>
      </x:c>
      <x:c r="E262" t="str">
        <x:v>▽◎</x:v>
      </x:c>
      <x:c r="F262" t="str">
        <x:v>▽◎</x:v>
      </x:c>
      <x:c r="G262" t="n">
        <x:v>75</x:v>
      </x:c>
      <x:c r="H262" t="n">
        <x:v>20</x:v>
      </x:c>
      <x:c r="I262" t="n">
        <x:v>10</x:v>
      </x:c>
      <x:c r="J262" t="n">
        <x:v>25</x:v>
      </x:c>
      <x:c r="K262" t="n">
        <x:v>100</x:v>
      </x:c>
      <x:c r="L262" t="str">
        <x:v>OPEN</x:v>
      </x:c>
      <x:c r="M262" t="str">
        <x:v>▽◎ + ▽◎ + △ + ◎✓</x:v>
      </x:c>
      <x:c r="N262" t="str">
        <x:v>F(Strong receiver) with F(Strong receiver): OPEN in model.</x:v>
      </x:c>
    </x:row>
    <x:row r="263">
      <x:c r="A263" t="str">
        <x:v>F</x:v>
      </x:c>
      <x:c r="B263" t="str">
        <x:v>Ne</x:v>
      </x:c>
      <x:c r="C263" t="str">
        <x:v>Strong receiver</x:v>
      </x:c>
      <x:c r="D263" t="str">
        <x:v>Closed Gate</x:v>
      </x:c>
      <x:c r="E263" t="str">
        <x:v>▽◎</x:v>
      </x:c>
      <x:c r="F263" t="str">
        <x:v>◎✓</x:v>
      </x:c>
      <x:c r="G263" t="n">
        <x:v>4.4</x:v>
      </x:c>
      <x:c r="H263" t="n">
        <x:v>9</x:v>
      </x:c>
      <x:c r="I263" t="n">
        <x:v>5.5</x:v>
      </x:c>
      <x:c r="J263" t="n">
        <x:v>32</x:v>
      </x:c>
      <x:c r="K263" t="n">
        <x:v>39.9</x:v>
      </x:c>
      <x:c r="L263" t="str">
        <x:v>HOLD</x:v>
      </x:c>
      <x:c r="M263" t="str">
        <x:v>▽◎ + ◎✓ + △ + HOLD</x:v>
      </x:c>
      <x:c r="N263" t="str">
        <x:v>F(Strong receiver) with Ne(Closed Gate): HOLD in model.</x:v>
      </x:c>
    </x:row>
    <x:row r="264">
      <x:c r="A264" t="str">
        <x:v>F</x:v>
      </x:c>
      <x:c r="B264" t="str">
        <x:v>Na</x:v>
      </x:c>
      <x:c r="C264" t="str">
        <x:v>Strong receiver</x:v>
      </x:c>
      <x:c r="D264" t="str">
        <x:v>Strong donor</x:v>
      </x:c>
      <x:c r="E264" t="str">
        <x:v>▽◎</x:v>
      </x:c>
      <x:c r="F264" t="str">
        <x:v>△ᛏ</x:v>
      </x:c>
      <x:c r="G264" t="n">
        <x:v>48.8</x:v>
      </x:c>
      <x:c r="H264" t="n">
        <x:v>19</x:v>
      </x:c>
      <x:c r="I264" t="n">
        <x:v>10.5</x:v>
      </x:c>
      <x:c r="J264" t="n">
        <x:v>18.5</x:v>
      </x:c>
      <x:c r="K264" t="n">
        <x:v>75.8</x:v>
      </x:c>
      <x:c r="L264" t="str">
        <x:v>OPEN</x:v>
      </x:c>
      <x:c r="M264" t="str">
        <x:v>▽◎ + △ᛏ + △ + ◎✓</x:v>
      </x:c>
      <x:c r="N264" t="str">
        <x:v>F(Strong receiver) with Na(Strong donor): OPEN in model.</x:v>
      </x:c>
    </x:row>
    <x:row r="265">
      <x:c r="A265" t="str">
        <x:v>F</x:v>
      </x:c>
      <x:c r="B265" t="str">
        <x:v>Mg</x:v>
      </x:c>
      <x:c r="C265" t="str">
        <x:v>Strong receiver</x:v>
      </x:c>
      <x:c r="D265" t="str">
        <x:v>Structure donor</x:v>
      </x:c>
      <x:c r="E265" t="str">
        <x:v>▽◎</x:v>
      </x:c>
      <x:c r="F265" t="str">
        <x:v>□△</x:v>
      </x:c>
      <x:c r="G265" t="n">
        <x:v>40</x:v>
      </x:c>
      <x:c r="H265" t="n">
        <x:v>13</x:v>
      </x:c>
      <x:c r="I265" t="n">
        <x:v>8.5</x:v>
      </x:c>
      <x:c r="J265" t="n">
        <x:v>23</x:v>
      </x:c>
      <x:c r="K265" t="n">
        <x:v>67.5</x:v>
      </x:c>
      <x:c r="L265" t="str">
        <x:v>ASK</x:v>
      </x:c>
      <x:c r="M265" t="str">
        <x:v>▽◎ + □△ + △ + ◎?</x:v>
      </x:c>
      <x:c r="N265" t="str">
        <x:v>F(Strong receiver) with Mg(Structure donor): ASK in model.</x:v>
      </x:c>
    </x:row>
    <x:row r="266">
      <x:c r="A266" t="str">
        <x:v>F</x:v>
      </x:c>
      <x:c r="B266" t="str">
        <x:v>Al</x:v>
      </x:c>
      <x:c r="C266" t="str">
        <x:v>Strong receiver</x:v>
      </x:c>
      <x:c r="D266" t="str">
        <x:v>Form builder</x:v>
      </x:c>
      <x:c r="E266" t="str">
        <x:v>▽◎</x:v>
      </x:c>
      <x:c r="F266" t="str">
        <x:v>□◎</x:v>
      </x:c>
      <x:c r="G266" t="n">
        <x:v>40.6</x:v>
      </x:c>
      <x:c r="H266" t="n">
        <x:v>11</x:v>
      </x:c>
      <x:c r="I266" t="n">
        <x:v>7.5</x:v>
      </x:c>
      <x:c r="J266" t="n">
        <x:v>25</x:v>
      </x:c>
      <x:c r="K266" t="n">
        <x:v>69.1</x:v>
      </x:c>
      <x:c r="L266" t="str">
        <x:v>ASK</x:v>
      </x:c>
      <x:c r="M266" t="str">
        <x:v>▽◎ + □◎ + △ + ◎?</x:v>
      </x:c>
      <x:c r="N266" t="str">
        <x:v>F(Strong receiver) with Al(Form builder): ASK in model.</x:v>
      </x:c>
    </x:row>
    <x:row r="267">
      <x:c r="A267" t="str">
        <x:v>F</x:v>
      </x:c>
      <x:c r="B267" t="str">
        <x:v>Si</x:v>
      </x:c>
      <x:c r="C267" t="str">
        <x:v>Strong receiver</x:v>
      </x:c>
      <x:c r="D267" t="str">
        <x:v>Lattice engineer</x:v>
      </x:c>
      <x:c r="E267" t="str">
        <x:v>▽◎</x:v>
      </x:c>
      <x:c r="F267" t="str">
        <x:v>□◉</x:v>
      </x:c>
      <x:c r="G267" t="n">
        <x:v>36.9</x:v>
      </x:c>
      <x:c r="H267" t="n">
        <x:v>8</x:v>
      </x:c>
      <x:c r="I267" t="n">
        <x:v>7</x:v>
      </x:c>
      <x:c r="J267" t="n">
        <x:v>27.5</x:v>
      </x:c>
      <x:c r="K267" t="n">
        <x:v>65.4</x:v>
      </x:c>
      <x:c r="L267" t="str">
        <x:v>ASK</x:v>
      </x:c>
      <x:c r="M267" t="str">
        <x:v>▽◎ + □◉ + △ + ◎?</x:v>
      </x:c>
      <x:c r="N267" t="str">
        <x:v>F(Strong receiver) with Si(Lattice engineer): ASK in model.</x:v>
      </x:c>
    </x:row>
    <x:row r="268">
      <x:c r="A268" t="str">
        <x:v>F</x:v>
      </x:c>
      <x:c r="B268" t="str">
        <x:v>P</x:v>
      </x:c>
      <x:c r="C268" t="str">
        <x:v>Strong receiver</x:v>
      </x:c>
      <x:c r="D268" t="str">
        <x:v>Energy memory</x:v>
      </x:c>
      <x:c r="E268" t="str">
        <x:v>▽◎</x:v>
      </x:c>
      <x:c r="F268" t="str">
        <x:v>◉△</x:v>
      </x:c>
      <x:c r="G268" t="n">
        <x:v>56.9</x:v>
      </x:c>
      <x:c r="H268" t="n">
        <x:v>15</x:v>
      </x:c>
      <x:c r="I268" t="n">
        <x:v>9</x:v>
      </x:c>
      <x:c r="J268" t="n">
        <x:v>25</x:v>
      </x:c>
      <x:c r="K268" t="n">
        <x:v>87.9</x:v>
      </x:c>
      <x:c r="L268" t="str">
        <x:v>OPEN</x:v>
      </x:c>
      <x:c r="M268" t="str">
        <x:v>▽◎ + ◉△ + △ + ◎✓</x:v>
      </x:c>
      <x:c r="N268" t="str">
        <x:v>F(Strong receiver) with P(Energy memory): OPEN in model.</x:v>
      </x:c>
    </x:row>
    <x:row r="269">
      <x:c r="A269" t="str">
        <x:v>F</x:v>
      </x:c>
      <x:c r="B269" t="str">
        <x:v>S</x:v>
      </x:c>
      <x:c r="C269" t="str">
        <x:v>Strong receiver</x:v>
      </x:c>
      <x:c r="D269" t="str">
        <x:v>Connector phase</x:v>
      </x:c>
      <x:c r="E269" t="str">
        <x:v>▽◎</x:v>
      </x:c>
      <x:c r="F269" t="str">
        <x:v>↺▽</x:v>
      </x:c>
      <x:c r="G269" t="n">
        <x:v>53.8</x:v>
      </x:c>
      <x:c r="H269" t="n">
        <x:v>14</x:v>
      </x:c>
      <x:c r="I269" t="n">
        <x:v>8.5</x:v>
      </x:c>
      <x:c r="J269" t="n">
        <x:v>24.5</x:v>
      </x:c>
      <x:c r="K269" t="n">
        <x:v>83.8</x:v>
      </x:c>
      <x:c r="L269" t="str">
        <x:v>OPEN</x:v>
      </x:c>
      <x:c r="M269" t="str">
        <x:v>▽◎ + ↺▽ + △ + ◎✓</x:v>
      </x:c>
      <x:c r="N269" t="str">
        <x:v>F(Strong receiver) with S(Connector phase): OPEN in model.</x:v>
      </x:c>
    </x:row>
    <x:row r="270">
      <x:c r="A270" t="str">
        <x:v>F</x:v>
      </x:c>
      <x:c r="B270" t="str">
        <x:v>Cl</x:v>
      </x:c>
      <x:c r="C270" t="str">
        <x:v>Strong receiver</x:v>
      </x:c>
      <x:c r="D270" t="str">
        <x:v>Receiver closure</x:v>
      </x:c>
      <x:c r="E270" t="str">
        <x:v>▽◎</x:v>
      </x:c>
      <x:c r="F270" t="str">
        <x:v>▽◎</x:v>
      </x:c>
      <x:c r="G270" t="n">
        <x:v>70.6</x:v>
      </x:c>
      <x:c r="H270" t="n">
        <x:v>19</x:v>
      </x:c>
      <x:c r="I270" t="n">
        <x:v>9.5</x:v>
      </x:c>
      <x:c r="J270" t="n">
        <x:v>25.5</x:v>
      </x:c>
      <x:c r="K270" t="n">
        <x:v>100</x:v>
      </x:c>
      <x:c r="L270" t="str">
        <x:v>OPEN</x:v>
      </x:c>
      <x:c r="M270" t="str">
        <x:v>▽◎ + ▽◎ + △ + ◎✓</x:v>
      </x:c>
      <x:c r="N270" t="str">
        <x:v>F(Strong receiver) with Cl(Receiver closure): OPEN in model.</x:v>
      </x:c>
    </x:row>
    <x:row r="271">
      <x:c r="A271" t="str">
        <x:v>F</x:v>
      </x:c>
      <x:c r="B271" t="str">
        <x:v>Ar</x:v>
      </x:c>
      <x:c r="C271" t="str">
        <x:v>Strong receiver</x:v>
      </x:c>
      <x:c r="D271" t="str">
        <x:v>Closed Gate</x:v>
      </x:c>
      <x:c r="E271" t="str">
        <x:v>▽◎</x:v>
      </x:c>
      <x:c r="F271" t="str">
        <x:v>◎✓</x:v>
      </x:c>
      <x:c r="G271" t="n">
        <x:v>4.4</x:v>
      </x:c>
      <x:c r="H271" t="n">
        <x:v>9</x:v>
      </x:c>
      <x:c r="I271" t="n">
        <x:v>5.5</x:v>
      </x:c>
      <x:c r="J271" t="n">
        <x:v>32</x:v>
      </x:c>
      <x:c r="K271" t="n">
        <x:v>39.9</x:v>
      </x:c>
      <x:c r="L271" t="str">
        <x:v>HOLD</x:v>
      </x:c>
      <x:c r="M271" t="str">
        <x:v>▽◎ + ◎✓ + △ + HOLD</x:v>
      </x:c>
      <x:c r="N271" t="str">
        <x:v>F(Strong receiver) with Ar(Closed Gate): HOLD in model.</x:v>
      </x:c>
    </x:row>
    <x:row r="272">
      <x:c r="A272" t="str">
        <x:v>F</x:v>
      </x:c>
      <x:c r="B272" t="str">
        <x:v>K</x:v>
      </x:c>
      <x:c r="C272" t="str">
        <x:v>Strong receiver</x:v>
      </x:c>
      <x:c r="D272" t="str">
        <x:v>Heavy opener</x:v>
      </x:c>
      <x:c r="E272" t="str">
        <x:v>▽◎</x:v>
      </x:c>
      <x:c r="F272" t="str">
        <x:v>△ᛏ</x:v>
      </x:c>
      <x:c r="G272" t="n">
        <x:v>51.2</x:v>
      </x:c>
      <x:c r="H272" t="n">
        <x:v>19</x:v>
      </x:c>
      <x:c r="I272" t="n">
        <x:v>11.5</x:v>
      </x:c>
      <x:c r="J272" t="n">
        <x:v>17.5</x:v>
      </x:c>
      <x:c r="K272" t="n">
        <x:v>76.2</x:v>
      </x:c>
      <x:c r="L272" t="str">
        <x:v>OPEN</x:v>
      </x:c>
      <x:c r="M272" t="str">
        <x:v>▽◎ + △ᛏ + △ + ◎✓</x:v>
      </x:c>
      <x:c r="N272" t="str">
        <x:v>F(Strong receiver) with K(Heavy opener): OPEN in model.</x:v>
      </x:c>
    </x:row>
    <x:row r="273">
      <x:c r="A273" t="str">
        <x:v>F</x:v>
      </x:c>
      <x:c r="B273" t="str">
        <x:v>Ca</x:v>
      </x:c>
      <x:c r="C273" t="str">
        <x:v>Strong receiver</x:v>
      </x:c>
      <x:c r="D273" t="str">
        <x:v>Tank structure</x:v>
      </x:c>
      <x:c r="E273" t="str">
        <x:v>▽◎</x:v>
      </x:c>
      <x:c r="F273" t="str">
        <x:v>ᛉ□</x:v>
      </x:c>
      <x:c r="G273" t="n">
        <x:v>39.4</x:v>
      </x:c>
      <x:c r="H273" t="n">
        <x:v>11</x:v>
      </x:c>
      <x:c r="I273" t="n">
        <x:v>8</x:v>
      </x:c>
      <x:c r="J273" t="n">
        <x:v>25</x:v>
      </x:c>
      <x:c r="K273" t="n">
        <x:v>67.4</x:v>
      </x:c>
      <x:c r="L273" t="str">
        <x:v>ASK</x:v>
      </x:c>
      <x:c r="M273" t="str">
        <x:v>▽◎ + ᛉ□ + △ + ◎?</x:v>
      </x:c>
      <x:c r="N273" t="str">
        <x:v>F(Strong receiver) with Ca(Tank structure): ASK in model.</x:v>
      </x:c>
    </x:row>
    <x:row r="274">
      <x:c r="A274" t="str">
        <x:v>F</x:v>
      </x:c>
      <x:c r="B274" t="str">
        <x:v>Sc</x:v>
      </x:c>
      <x:c r="C274" t="str">
        <x:v>Strong receiver</x:v>
      </x:c>
      <x:c r="D274" t="str">
        <x:v>Transition bridge</x:v>
      </x:c>
      <x:c r="E274" t="str">
        <x:v>▽◎</x:v>
      </x:c>
      <x:c r="F274" t="str">
        <x:v>↺□</x:v>
      </x:c>
      <x:c r="G274" t="n">
        <x:v>40.6</x:v>
      </x:c>
      <x:c r="H274" t="n">
        <x:v>12</x:v>
      </x:c>
      <x:c r="I274" t="n">
        <x:v>8</x:v>
      </x:c>
      <x:c r="J274" t="n">
        <x:v>24.5</x:v>
      </x:c>
      <x:c r="K274" t="n">
        <x:v>69.1</x:v>
      </x:c>
      <x:c r="L274" t="str">
        <x:v>ASK</x:v>
      </x:c>
      <x:c r="M274" t="str">
        <x:v>▽◎ + ↺□ + △ + ◎?</x:v>
      </x:c>
      <x:c r="N274" t="str">
        <x:v>F(Strong receiver) with Sc(Transition bridge): ASK in model.</x:v>
      </x:c>
    </x:row>
    <x:row r="275">
      <x:c r="A275" t="str">
        <x:v>F</x:v>
      </x:c>
      <x:c r="B275" t="str">
        <x:v>Ti</x:v>
      </x:c>
      <x:c r="C275" t="str">
        <x:v>Strong receiver</x:v>
      </x:c>
      <x:c r="D275" t="str">
        <x:v>Strong structure</x:v>
      </x:c>
      <x:c r="E275" t="str">
        <x:v>▽◎</x:v>
      </x:c>
      <x:c r="F275" t="str">
        <x:v>ᛉ□</x:v>
      </x:c>
      <x:c r="G275" t="n">
        <x:v>40.6</x:v>
      </x:c>
      <x:c r="H275" t="n">
        <x:v>9</x:v>
      </x:c>
      <x:c r="I275" t="n">
        <x:v>7</x:v>
      </x:c>
      <x:c r="J275" t="n">
        <x:v>27.5</x:v>
      </x:c>
      <x:c r="K275" t="n">
        <x:v>70.1</x:v>
      </x:c>
      <x:c r="L275" t="str">
        <x:v>ASK</x:v>
      </x:c>
      <x:c r="M275" t="str">
        <x:v>▽◎ + ᛉ□ + △ + ◎?</x:v>
      </x:c>
      <x:c r="N275" t="str">
        <x:v>F(Strong receiver) with Ti(Strong structure): ASK in model.</x:v>
      </x:c>
    </x:row>
    <x:row r="276">
      <x:c r="A276" t="str">
        <x:v>F</x:v>
      </x:c>
      <x:c r="B276" t="str">
        <x:v>V</x:v>
      </x:c>
      <x:c r="C276" t="str">
        <x:v>Strong receiver</x:v>
      </x:c>
      <x:c r="D276" t="str">
        <x:v>Multi-state gate</x:v>
      </x:c>
      <x:c r="E276" t="str">
        <x:v>▽◎</x:v>
      </x:c>
      <x:c r="F276" t="str">
        <x:v>◎↺</x:v>
      </x:c>
      <x:c r="G276" t="n">
        <x:v>49.4</x:v>
      </x:c>
      <x:c r="H276" t="n">
        <x:v>12</x:v>
      </x:c>
      <x:c r="I276" t="n">
        <x:v>9.5</x:v>
      </x:c>
      <x:c r="J276" t="n">
        <x:v>25</x:v>
      </x:c>
      <x:c r="K276" t="n">
        <x:v>76.9</x:v>
      </x:c>
      <x:c r="L276" t="str">
        <x:v>OPEN</x:v>
      </x:c>
      <x:c r="M276" t="str">
        <x:v>▽◎ + ◎↺ + △ + ◎✓</x:v>
      </x:c>
      <x:c r="N276" t="str">
        <x:v>F(Strong receiver) with V(Multi-state gate): OPEN in model.</x:v>
      </x:c>
    </x:row>
    <x:row r="277">
      <x:c r="A277" t="str">
        <x:v>F</x:v>
      </x:c>
      <x:c r="B277" t="str">
        <x:v>Cr</x:v>
      </x:c>
      <x:c r="C277" t="str">
        <x:v>Strong receiver</x:v>
      </x:c>
      <x:c r="D277" t="str">
        <x:v>Surface guardian</x:v>
      </x:c>
      <x:c r="E277" t="str">
        <x:v>▽◎</x:v>
      </x:c>
      <x:c r="F277" t="str">
        <x:v>ᛉ◎</x:v>
      </x:c>
      <x:c r="G277" t="n">
        <x:v>46.9</x:v>
      </x:c>
      <x:c r="H277" t="n">
        <x:v>10</x:v>
      </x:c>
      <x:c r="I277" t="n">
        <x:v>8.5</x:v>
      </x:c>
      <x:c r="J277" t="n">
        <x:v>27.5</x:v>
      </x:c>
      <x:c r="K277" t="n">
        <x:v>75.9</x:v>
      </x:c>
      <x:c r="L277" t="str">
        <x:v>OPEN</x:v>
      </x:c>
      <x:c r="M277" t="str">
        <x:v>▽◎ + ᛉ◎ + △ + ◎✓</x:v>
      </x:c>
      <x:c r="N277" t="str">
        <x:v>F(Strong receiver) with Cr(Surface guardian): OPEN in model.</x:v>
      </x:c>
    </x:row>
    <x:row r="278">
      <x:c r="A278" t="str">
        <x:v>F</x:v>
      </x:c>
      <x:c r="B278" t="str">
        <x:v>Mn</x:v>
      </x:c>
      <x:c r="C278" t="str">
        <x:v>Strong receiver</x:v>
      </x:c>
      <x:c r="D278" t="str">
        <x:v>Redox archer</x:v>
      </x:c>
      <x:c r="E278" t="str">
        <x:v>▽◎</x:v>
      </x:c>
      <x:c r="F278" t="str">
        <x:v>ᛏ↺</x:v>
      </x:c>
      <x:c r="G278" t="n">
        <x:v>58.1</x:v>
      </x:c>
      <x:c r="H278" t="n">
        <x:v>14</x:v>
      </x:c>
      <x:c r="I278" t="n">
        <x:v>10.5</x:v>
      </x:c>
      <x:c r="J278" t="n">
        <x:v>23.5</x:v>
      </x:c>
      <x:c r="K278" t="n">
        <x:v>85.1</x:v>
      </x:c>
      <x:c r="L278" t="str">
        <x:v>OPEN</x:v>
      </x:c>
      <x:c r="M278" t="str">
        <x:v>▽◎ + ᛏ↺ + △ + ◎✓</x:v>
      </x:c>
      <x:c r="N278" t="str">
        <x:v>F(Strong receiver) with Mn(Redox archer): OPEN in model.</x:v>
      </x:c>
    </x:row>
    <x:row r="279">
      <x:c r="A279" t="str">
        <x:v>F</x:v>
      </x:c>
      <x:c r="B279" t="str">
        <x:v>Fe</x:v>
      </x:c>
      <x:c r="C279" t="str">
        <x:v>Strong receiver</x:v>
      </x:c>
      <x:c r="D279" t="str">
        <x:v>Tank memory</x:v>
      </x:c>
      <x:c r="E279" t="str">
        <x:v>▽◎</x:v>
      </x:c>
      <x:c r="F279" t="str">
        <x:v>ᛉ◉</x:v>
      </x:c>
      <x:c r="G279" t="n">
        <x:v>53.1</x:v>
      </x:c>
      <x:c r="H279" t="n">
        <x:v>9</x:v>
      </x:c>
      <x:c r="I279" t="n">
        <x:v>8.5</x:v>
      </x:c>
      <x:c r="J279" t="n">
        <x:v>26.5</x:v>
      </x:c>
      <x:c r="K279" t="n">
        <x:v>80.1</x:v>
      </x:c>
      <x:c r="L279" t="str">
        <x:v>OPEN</x:v>
      </x:c>
      <x:c r="M279" t="str">
        <x:v>▽◎ + ᛉ◉ + △ + ◎✓</x:v>
      </x:c>
      <x:c r="N279" t="str">
        <x:v>F(Strong receiver) with Fe(Tank memory): OPEN in model.</x:v>
      </x:c>
    </x:row>
    <x:row r="280">
      <x:c r="A280" t="str">
        <x:v>F</x:v>
      </x:c>
      <x:c r="B280" t="str">
        <x:v>Co</x:v>
      </x:c>
      <x:c r="C280" t="str">
        <x:v>Strong receiver</x:v>
      </x:c>
      <x:c r="D280" t="str">
        <x:v>Magnetic bridge</x:v>
      </x:c>
      <x:c r="E280" t="str">
        <x:v>▽◎</x:v>
      </x:c>
      <x:c r="F280" t="str">
        <x:v>◉ᛉ</x:v>
      </x:c>
      <x:c r="G280" t="n">
        <x:v>48.8</x:v>
      </x:c>
      <x:c r="H280" t="n">
        <x:v>10</x:v>
      </x:c>
      <x:c r="I280" t="n">
        <x:v>8.5</x:v>
      </x:c>
      <x:c r="J280" t="n">
        <x:v>26</x:v>
      </x:c>
      <x:c r="K280" t="n">
        <x:v>76.3</x:v>
      </x:c>
      <x:c r="L280" t="str">
        <x:v>OPEN</x:v>
      </x:c>
      <x:c r="M280" t="str">
        <x:v>▽◎ + ◉ᛉ + △ + ◎✓</x:v>
      </x:c>
      <x:c r="N280" t="str">
        <x:v>F(Strong receiver) with Co(Magnetic bridge): OPEN in model.</x:v>
      </x:c>
    </x:row>
    <x:row r="281">
      <x:c r="A281" t="str">
        <x:v>F</x:v>
      </x:c>
      <x:c r="B281" t="str">
        <x:v>Ni</x:v>
      </x:c>
      <x:c r="C281" t="str">
        <x:v>Strong receiver</x:v>
      </x:c>
      <x:c r="D281" t="str">
        <x:v>Catalytic guard</x:v>
      </x:c>
      <x:c r="E281" t="str">
        <x:v>▽◎</x:v>
      </x:c>
      <x:c r="F281" t="str">
        <x:v>◎↺</x:v>
      </x:c>
      <x:c r="G281" t="n">
        <x:v>48.1</x:v>
      </x:c>
      <x:c r="H281" t="n">
        <x:v>10</x:v>
      </x:c>
      <x:c r="I281" t="n">
        <x:v>8</x:v>
      </x:c>
      <x:c r="J281" t="n">
        <x:v>27</x:v>
      </x:c>
      <x:c r="K281" t="n">
        <x:v>77.1</x:v>
      </x:c>
      <x:c r="L281" t="str">
        <x:v>OPEN</x:v>
      </x:c>
      <x:c r="M281" t="str">
        <x:v>▽◎ + ◎↺ + △ + ◎✓</x:v>
      </x:c>
      <x:c r="N281" t="str">
        <x:v>F(Strong receiver) with Ni(Catalytic guard): OPEN in model.</x:v>
      </x:c>
    </x:row>
    <x:row r="282">
      <x:c r="A282" t="str">
        <x:v>F</x:v>
      </x:c>
      <x:c r="B282" t="str">
        <x:v>Cu</x:v>
      </x:c>
      <x:c r="C282" t="str">
        <x:v>Strong receiver</x:v>
      </x:c>
      <x:c r="D282" t="str">
        <x:v>Conductor flow</x:v>
      </x:c>
      <x:c r="E282" t="str">
        <x:v>▽◎</x:v>
      </x:c>
      <x:c r="F282" t="str">
        <x:v>↺ᛏ</x:v>
      </x:c>
      <x:c r="G282" t="n">
        <x:v>50.6</x:v>
      </x:c>
      <x:c r="H282" t="n">
        <x:v>12</x:v>
      </x:c>
      <x:c r="I282" t="n">
        <x:v>7.5</x:v>
      </x:c>
      <x:c r="J282" t="n">
        <x:v>26</x:v>
      </x:c>
      <x:c r="K282" t="n">
        <x:v>81.1</x:v>
      </x:c>
      <x:c r="L282" t="str">
        <x:v>OPEN</x:v>
      </x:c>
      <x:c r="M282" t="str">
        <x:v>▽◎ + ↺ᛏ + △ + ◎✓</x:v>
      </x:c>
      <x:c r="N282" t="str">
        <x:v>F(Strong receiver) with Cu(Conductor flow): OPEN in model.</x:v>
      </x:c>
    </x:row>
    <x:row r="283">
      <x:c r="A283" t="str">
        <x:v>F</x:v>
      </x:c>
      <x:c r="B283" t="str">
        <x:v>Zn</x:v>
      </x:c>
      <x:c r="C283" t="str">
        <x:v>Strong receiver</x:v>
      </x:c>
      <x:c r="D283" t="str">
        <x:v>Enzyme stabilizer</x:v>
      </x:c>
      <x:c r="E283" t="str">
        <x:v>▽◎</x:v>
      </x:c>
      <x:c r="F283" t="str">
        <x:v>◎□</x:v>
      </x:c>
      <x:c r="G283" t="n">
        <x:v>36.9</x:v>
      </x:c>
      <x:c r="H283" t="n">
        <x:v>10</x:v>
      </x:c>
      <x:c r="I283" t="n">
        <x:v>7</x:v>
      </x:c>
      <x:c r="J283" t="n">
        <x:v>29</x:v>
      </x:c>
      <x:c r="K283" t="n">
        <x:v>68.9</x:v>
      </x:c>
      <x:c r="L283" t="str">
        <x:v>ASK</x:v>
      </x:c>
      <x:c r="M283" t="str">
        <x:v>▽◎ + ◎□ + △ + ◎?</x:v>
      </x:c>
      <x:c r="N283" t="str">
        <x:v>F(Strong receiver) with Zn(Enzyme stabilizer): ASK in model.</x:v>
      </x:c>
    </x:row>
    <x:row r="284">
      <x:c r="A284" t="str">
        <x:v>F</x:v>
      </x:c>
      <x:c r="B284" t="str">
        <x:v>Ga</x:v>
      </x:c>
      <x:c r="C284" t="str">
        <x:v>Strong receiver</x:v>
      </x:c>
      <x:c r="D284" t="str">
        <x:v>Soft form gate</x:v>
      </x:c>
      <x:c r="E284" t="str">
        <x:v>▽◎</x:v>
      </x:c>
      <x:c r="F284" t="str">
        <x:v>□↺</x:v>
      </x:c>
      <x:c r="G284" t="n">
        <x:v>37.5</x:v>
      </x:c>
      <x:c r="H284" t="n">
        <x:v>13</x:v>
      </x:c>
      <x:c r="I284" t="n">
        <x:v>8</x:v>
      </x:c>
      <x:c r="J284" t="n">
        <x:v>24</x:v>
      </x:c>
      <x:c r="K284" t="n">
        <x:v>66.5</x:v>
      </x:c>
      <x:c r="L284" t="str">
        <x:v>ASK</x:v>
      </x:c>
      <x:c r="M284" t="str">
        <x:v>▽◎ + □↺ + △ + ◎?</x:v>
      </x:c>
      <x:c r="N284" t="str">
        <x:v>F(Strong receiver) with Ga(Soft form gate): ASK in model.</x:v>
      </x:c>
    </x:row>
    <x:row r="285">
      <x:c r="A285" t="str">
        <x:v>F</x:v>
      </x:c>
      <x:c r="B285" t="str">
        <x:v>Ge</x:v>
      </x:c>
      <x:c r="C285" t="str">
        <x:v>Strong receiver</x:v>
      </x:c>
      <x:c r="D285" t="str">
        <x:v>Semi lattice</x:v>
      </x:c>
      <x:c r="E285" t="str">
        <x:v>▽◎</x:v>
      </x:c>
      <x:c r="F285" t="str">
        <x:v>□◎</x:v>
      </x:c>
      <x:c r="G285" t="n">
        <x:v>36.9</x:v>
      </x:c>
      <x:c r="H285" t="n">
        <x:v>10</x:v>
      </x:c>
      <x:c r="I285" t="n">
        <x:v>7.5</x:v>
      </x:c>
      <x:c r="J285" t="n">
        <x:v>26.5</x:v>
      </x:c>
      <x:c r="K285" t="n">
        <x:v>65.9</x:v>
      </x:c>
      <x:c r="L285" t="str">
        <x:v>ASK</x:v>
      </x:c>
      <x:c r="M285" t="str">
        <x:v>▽◎ + □◎ + △ + ◎?</x:v>
      </x:c>
      <x:c r="N285" t="str">
        <x:v>F(Strong receiver) with Ge(Semi lattice): ASK in model.</x:v>
      </x:c>
    </x:row>
    <x:row r="286">
      <x:c r="A286" t="str">
        <x:v>F</x:v>
      </x:c>
      <x:c r="B286" t="str">
        <x:v>As</x:v>
      </x:c>
      <x:c r="C286" t="str">
        <x:v>Strong receiver</x:v>
      </x:c>
      <x:c r="D286" t="str">
        <x:v>Shadow gate</x:v>
      </x:c>
      <x:c r="E286" t="str">
        <x:v>▽◎</x:v>
      </x:c>
      <x:c r="F286" t="str">
        <x:v>∅◎</x:v>
      </x:c>
      <x:c r="G286" t="n">
        <x:v>45.6</x:v>
      </x:c>
      <x:c r="H286" t="n">
        <x:v>14</x:v>
      </x:c>
      <x:c r="I286" t="n">
        <x:v>12.5</x:v>
      </x:c>
      <x:c r="J286" t="n">
        <x:v>21.5</x:v>
      </x:c>
      <x:c r="K286" t="n">
        <x:v>68.6</x:v>
      </x:c>
      <x:c r="L286" t="str">
        <x:v>ASK</x:v>
      </x:c>
      <x:c r="M286" t="str">
        <x:v>▽◎ + ∅◎ + △ + ◎?</x:v>
      </x:c>
      <x:c r="N286" t="str">
        <x:v>F(Strong receiver) with As(Shadow gate): ASK in model.</x:v>
      </x:c>
    </x:row>
    <x:row r="287">
      <x:c r="A287" t="str">
        <x:v>F</x:v>
      </x:c>
      <x:c r="B287" t="str">
        <x:v>Se</x:v>
      </x:c>
      <x:c r="C287" t="str">
        <x:v>Strong receiver</x:v>
      </x:c>
      <x:c r="D287" t="str">
        <x:v>Trace healer</x:v>
      </x:c>
      <x:c r="E287" t="str">
        <x:v>▽◎</x:v>
      </x:c>
      <x:c r="F287" t="str">
        <x:v>↺◉</x:v>
      </x:c>
      <x:c r="G287" t="n">
        <x:v>46.9</x:v>
      </x:c>
      <x:c r="H287" t="n">
        <x:v>14</x:v>
      </x:c>
      <x:c r="I287" t="n">
        <x:v>9</x:v>
      </x:c>
      <x:c r="J287" t="n">
        <x:v>25</x:v>
      </x:c>
      <x:c r="K287" t="n">
        <x:v>76.9</x:v>
      </x:c>
      <x:c r="L287" t="str">
        <x:v>OPEN</x:v>
      </x:c>
      <x:c r="M287" t="str">
        <x:v>▽◎ + ↺◉ + △ + ◎✓</x:v>
      </x:c>
      <x:c r="N287" t="str">
        <x:v>F(Strong receiver) with Se(Trace healer): OPEN in model.</x:v>
      </x:c>
    </x:row>
    <x:row r="288">
      <x:c r="A288" t="str">
        <x:v>F</x:v>
      </x:c>
      <x:c r="B288" t="str">
        <x:v>Br</x:v>
      </x:c>
      <x:c r="C288" t="str">
        <x:v>Strong receiver</x:v>
      </x:c>
      <x:c r="D288" t="str">
        <x:v>Heavy receiver</x:v>
      </x:c>
      <x:c r="E288" t="str">
        <x:v>▽◎</x:v>
      </x:c>
      <x:c r="F288" t="str">
        <x:v>▽∅</x:v>
      </x:c>
      <x:c r="G288" t="n">
        <x:v>66.3</x:v>
      </x:c>
      <x:c r="H288" t="n">
        <x:v>18</x:v>
      </x:c>
      <x:c r="I288" t="n">
        <x:v>10.5</x:v>
      </x:c>
      <x:c r="J288" t="n">
        <x:v>24</x:v>
      </x:c>
      <x:c r="K288" t="n">
        <x:v>97.8</x:v>
      </x:c>
      <x:c r="L288" t="str">
        <x:v>OPEN</x:v>
      </x:c>
      <x:c r="M288" t="str">
        <x:v>▽◎ + ▽∅ + △ + ◎✓</x:v>
      </x:c>
      <x:c r="N288" t="str">
        <x:v>F(Strong receiver) with Br(Heavy receiver): OPEN in model.</x:v>
      </x:c>
    </x:row>
    <x:row r="289">
      <x:c r="A289" t="str">
        <x:v>F</x:v>
      </x:c>
      <x:c r="B289" t="str">
        <x:v>Kr</x:v>
      </x:c>
      <x:c r="C289" t="str">
        <x:v>Strong receiver</x:v>
      </x:c>
      <x:c r="D289" t="str">
        <x:v>Closed Gate light</x:v>
      </x:c>
      <x:c r="E289" t="str">
        <x:v>▽◎</x:v>
      </x:c>
      <x:c r="F289" t="str">
        <x:v>◎✓</x:v>
      </x:c>
      <x:c r="G289" t="n">
        <x:v>4.4</x:v>
      </x:c>
      <x:c r="H289" t="n">
        <x:v>9</x:v>
      </x:c>
      <x:c r="I289" t="n">
        <x:v>5.5</x:v>
      </x:c>
      <x:c r="J289" t="n">
        <x:v>32</x:v>
      </x:c>
      <x:c r="K289" t="n">
        <x:v>39.9</x:v>
      </x:c>
      <x:c r="L289" t="str">
        <x:v>HOLD</x:v>
      </x:c>
      <x:c r="M289" t="str">
        <x:v>▽◎ + ◎✓ + △ + HOLD</x:v>
      </x:c>
      <x:c r="N289" t="str">
        <x:v>F(Strong receiver) with Kr(Closed Gate light): HOLD in model.</x:v>
      </x:c>
    </x:row>
    <x:row r="290">
      <x:c r="A290" t="str">
        <x:v>Ne</x:v>
      </x:c>
      <x:c r="B290" t="str">
        <x:v>Ne</x:v>
      </x:c>
      <x:c r="C290" t="str">
        <x:v>Closed Gate</x:v>
      </x:c>
      <x:c r="D290" t="str">
        <x:v>Closed Gate</x:v>
      </x:c>
      <x:c r="E290" t="str">
        <x:v>◎✓</x:v>
      </x:c>
      <x:c r="F290" t="str">
        <x:v>◎✓</x:v>
      </x:c>
      <x:c r="G290" t="n">
        <x:v>0.3</x:v>
      </x:c>
      <x:c r="H290" t="n">
        <x:v>20</x:v>
      </x:c>
      <x:c r="I290" t="n">
        <x:v>1</x:v>
      </x:c>
      <x:c r="J290" t="n">
        <x:v>39</x:v>
      </x:c>
      <x:c r="K290" t="n">
        <x:v>58.3</x:v>
      </x:c>
      <x:c r="L290" t="str">
        <x:v>ASK</x:v>
      </x:c>
      <x:c r="M290" t="str">
        <x:v>◎✓ + ◎✓ + △ + ◎?</x:v>
      </x:c>
      <x:c r="N290" t="str">
        <x:v>Ne(Closed Gate) with Ne(Closed Gate): ASK in model.</x:v>
      </x:c>
    </x:row>
    <x:row r="291">
      <x:c r="A291" t="str">
        <x:v>Ne</x:v>
      </x:c>
      <x:c r="B291" t="str">
        <x:v>Na</x:v>
      </x:c>
      <x:c r="C291" t="str">
        <x:v>Closed Gate</x:v>
      </x:c>
      <x:c r="D291" t="str">
        <x:v>Strong donor</x:v>
      </x:c>
      <x:c r="E291" t="str">
        <x:v>◎✓</x:v>
      </x:c>
      <x:c r="F291" t="str">
        <x:v>△ᛏ</x:v>
      </x:c>
      <x:c r="G291" t="n">
        <x:v>2.5</x:v>
      </x:c>
      <x:c r="H291" t="n">
        <x:v>8</x:v>
      </x:c>
      <x:c r="I291" t="n">
        <x:v>6</x:v>
      </x:c>
      <x:c r="J291" t="n">
        <x:v>25.5</x:v>
      </x:c>
      <x:c r="K291" t="n">
        <x:v>30</x:v>
      </x:c>
      <x:c r="L291" t="str">
        <x:v>HOLD</x:v>
      </x:c>
      <x:c r="M291" t="str">
        <x:v>◎✓ + △ᛏ + △ + HOLD</x:v>
      </x:c>
      <x:c r="N291" t="str">
        <x:v>Ne(Closed Gate) with Na(Strong donor): HOLD in model.</x:v>
      </x:c>
    </x:row>
    <x:row r="292">
      <x:c r="A292" t="str">
        <x:v>Ne</x:v>
      </x:c>
      <x:c r="B292" t="str">
        <x:v>Mg</x:v>
      </x:c>
      <x:c r="C292" t="str">
        <x:v>Closed Gate</x:v>
      </x:c>
      <x:c r="D292" t="str">
        <x:v>Structure donor</x:v>
      </x:c>
      <x:c r="E292" t="str">
        <x:v>◎✓</x:v>
      </x:c>
      <x:c r="F292" t="str">
        <x:v>□△</x:v>
      </x:c>
      <x:c r="G292" t="n">
        <x:v>2.1</x:v>
      </x:c>
      <x:c r="H292" t="n">
        <x:v>16</x:v>
      </x:c>
      <x:c r="I292" t="n">
        <x:v>4</x:v>
      </x:c>
      <x:c r="J292" t="n">
        <x:v>30</x:v>
      </x:c>
      <x:c r="K292" t="n">
        <x:v>44.1</x:v>
      </x:c>
      <x:c r="L292" t="str">
        <x:v>REPAIR</x:v>
      </x:c>
      <x:c r="M292" t="str">
        <x:v>◎✓ + □△ + △ + ↺</x:v>
      </x:c>
      <x:c r="N292" t="str">
        <x:v>Ne(Closed Gate) with Mg(Structure donor): REPAIR in model.</x:v>
      </x:c>
    </x:row>
    <x:row r="293">
      <x:c r="A293" t="str">
        <x:v>Ne</x:v>
      </x:c>
      <x:c r="B293" t="str">
        <x:v>Al</x:v>
      </x:c>
      <x:c r="C293" t="str">
        <x:v>Closed Gate</x:v>
      </x:c>
      <x:c r="D293" t="str">
        <x:v>Form builder</x:v>
      </x:c>
      <x:c r="E293" t="str">
        <x:v>◎✓</x:v>
      </x:c>
      <x:c r="F293" t="str">
        <x:v>□◎</x:v>
      </x:c>
      <x:c r="G293" t="n">
        <x:v>2.2</x:v>
      </x:c>
      <x:c r="H293" t="n">
        <x:v>18</x:v>
      </x:c>
      <x:c r="I293" t="n">
        <x:v>3</x:v>
      </x:c>
      <x:c r="J293" t="n">
        <x:v>32</x:v>
      </x:c>
      <x:c r="K293" t="n">
        <x:v>49.2</x:v>
      </x:c>
      <x:c r="L293" t="str">
        <x:v>REPAIR</x:v>
      </x:c>
      <x:c r="M293" t="str">
        <x:v>◎✓ + □◎ + △ + ↺</x:v>
      </x:c>
      <x:c r="N293" t="str">
        <x:v>Ne(Closed Gate) with Al(Form builder): REPAIR in model.</x:v>
      </x:c>
    </x:row>
    <x:row r="294">
      <x:c r="A294" t="str">
        <x:v>Ne</x:v>
      </x:c>
      <x:c r="B294" t="str">
        <x:v>Si</x:v>
      </x:c>
      <x:c r="C294" t="str">
        <x:v>Closed Gate</x:v>
      </x:c>
      <x:c r="D294" t="str">
        <x:v>Lattice engineer</x:v>
      </x:c>
      <x:c r="E294" t="str">
        <x:v>◎✓</x:v>
      </x:c>
      <x:c r="F294" t="str">
        <x:v>□◉</x:v>
      </x:c>
      <x:c r="G294" t="n">
        <x:v>2.1</x:v>
      </x:c>
      <x:c r="H294" t="n">
        <x:v>19</x:v>
      </x:c>
      <x:c r="I294" t="n">
        <x:v>2.5</x:v>
      </x:c>
      <x:c r="J294" t="n">
        <x:v>34.5</x:v>
      </x:c>
      <x:c r="K294" t="n">
        <x:v>53.1</x:v>
      </x:c>
      <x:c r="L294" t="str">
        <x:v>REPAIR</x:v>
      </x:c>
      <x:c r="M294" t="str">
        <x:v>◎✓ + □◉ + △ + ↺</x:v>
      </x:c>
      <x:c r="N294" t="str">
        <x:v>Ne(Closed Gate) with Si(Lattice engineer): REPAIR in model.</x:v>
      </x:c>
    </x:row>
    <x:row r="295">
      <x:c r="A295" t="str">
        <x:v>Ne</x:v>
      </x:c>
      <x:c r="B295" t="str">
        <x:v>P</x:v>
      </x:c>
      <x:c r="C295" t="str">
        <x:v>Closed Gate</x:v>
      </x:c>
      <x:c r="D295" t="str">
        <x:v>Energy memory</x:v>
      </x:c>
      <x:c r="E295" t="str">
        <x:v>◎✓</x:v>
      </x:c>
      <x:c r="F295" t="str">
        <x:v>◉△</x:v>
      </x:c>
      <x:c r="G295" t="n">
        <x:v>3.2</x:v>
      </x:c>
      <x:c r="H295" t="n">
        <x:v>14</x:v>
      </x:c>
      <x:c r="I295" t="n">
        <x:v>4.5</x:v>
      </x:c>
      <x:c r="J295" t="n">
        <x:v>32</x:v>
      </x:c>
      <x:c r="K295" t="n">
        <x:v>44.7</x:v>
      </x:c>
      <x:c r="L295" t="str">
        <x:v>REPAIR</x:v>
      </x:c>
      <x:c r="M295" t="str">
        <x:v>◎✓ + ◉△ + △ + ↺</x:v>
      </x:c>
      <x:c r="N295" t="str">
        <x:v>Ne(Closed Gate) with P(Energy memory): REPAIR in model.</x:v>
      </x:c>
    </x:row>
    <x:row r="296">
      <x:c r="A296" t="str">
        <x:v>Ne</x:v>
      </x:c>
      <x:c r="B296" t="str">
        <x:v>S</x:v>
      </x:c>
      <x:c r="C296" t="str">
        <x:v>Closed Gate</x:v>
      </x:c>
      <x:c r="D296" t="str">
        <x:v>Connector phase</x:v>
      </x:c>
      <x:c r="E296" t="str">
        <x:v>◎✓</x:v>
      </x:c>
      <x:c r="F296" t="str">
        <x:v>↺▽</x:v>
      </x:c>
      <x:c r="G296" t="n">
        <x:v>3.1</x:v>
      </x:c>
      <x:c r="H296" t="n">
        <x:v>15</x:v>
      </x:c>
      <x:c r="I296" t="n">
        <x:v>4</x:v>
      </x:c>
      <x:c r="J296" t="n">
        <x:v>31.5</x:v>
      </x:c>
      <x:c r="K296" t="n">
        <x:v>45.6</x:v>
      </x:c>
      <x:c r="L296" t="str">
        <x:v>REPAIR</x:v>
      </x:c>
      <x:c r="M296" t="str">
        <x:v>◎✓ + ↺▽ + △ + ↺</x:v>
      </x:c>
      <x:c r="N296" t="str">
        <x:v>Ne(Closed Gate) with S(Connector phase): REPAIR in model.</x:v>
      </x:c>
    </x:row>
    <x:row r="297">
      <x:c r="A297" t="str">
        <x:v>Ne</x:v>
      </x:c>
      <x:c r="B297" t="str">
        <x:v>Cl</x:v>
      </x:c>
      <x:c r="C297" t="str">
        <x:v>Closed Gate</x:v>
      </x:c>
      <x:c r="D297" t="str">
        <x:v>Receiver closure</x:v>
      </x:c>
      <x:c r="E297" t="str">
        <x:v>◎✓</x:v>
      </x:c>
      <x:c r="F297" t="str">
        <x:v>▽◎</x:v>
      </x:c>
      <x:c r="G297" t="n">
        <x:v>4.1</x:v>
      </x:c>
      <x:c r="H297" t="n">
        <x:v>10</x:v>
      </x:c>
      <x:c r="I297" t="n">
        <x:v>5</x:v>
      </x:c>
      <x:c r="J297" t="n">
        <x:v>32.5</x:v>
      </x:c>
      <x:c r="K297" t="n">
        <x:v>41.6</x:v>
      </x:c>
      <x:c r="L297" t="str">
        <x:v>HOLD</x:v>
      </x:c>
      <x:c r="M297" t="str">
        <x:v>◎✓ + ▽◎ + △ + HOLD</x:v>
      </x:c>
      <x:c r="N297" t="str">
        <x:v>Ne(Closed Gate) with Cl(Receiver closure): HOLD in model.</x:v>
      </x:c>
    </x:row>
    <x:row r="298">
      <x:c r="A298" t="str">
        <x:v>Ne</x:v>
      </x:c>
      <x:c r="B298" t="str">
        <x:v>Ar</x:v>
      </x:c>
      <x:c r="C298" t="str">
        <x:v>Closed Gate</x:v>
      </x:c>
      <x:c r="D298" t="str">
        <x:v>Closed Gate</x:v>
      </x:c>
      <x:c r="E298" t="str">
        <x:v>◎✓</x:v>
      </x:c>
      <x:c r="F298" t="str">
        <x:v>◎✓</x:v>
      </x:c>
      <x:c r="G298" t="n">
        <x:v>0.3</x:v>
      </x:c>
      <x:c r="H298" t="n">
        <x:v>20</x:v>
      </x:c>
      <x:c r="I298" t="n">
        <x:v>1</x:v>
      </x:c>
      <x:c r="J298" t="n">
        <x:v>39</x:v>
      </x:c>
      <x:c r="K298" t="n">
        <x:v>58.3</x:v>
      </x:c>
      <x:c r="L298" t="str">
        <x:v>ASK</x:v>
      </x:c>
      <x:c r="M298" t="str">
        <x:v>◎✓ + ◎✓ + △ + ◎?</x:v>
      </x:c>
      <x:c r="N298" t="str">
        <x:v>Ne(Closed Gate) with Ar(Closed Gate): ASK in model.</x:v>
      </x:c>
    </x:row>
    <x:row r="299">
      <x:c r="A299" t="str">
        <x:v>Ne</x:v>
      </x:c>
      <x:c r="B299" t="str">
        <x:v>K</x:v>
      </x:c>
      <x:c r="C299" t="str">
        <x:v>Closed Gate</x:v>
      </x:c>
      <x:c r="D299" t="str">
        <x:v>Heavy opener</x:v>
      </x:c>
      <x:c r="E299" t="str">
        <x:v>◎✓</x:v>
      </x:c>
      <x:c r="F299" t="str">
        <x:v>△ᛏ</x:v>
      </x:c>
      <x:c r="G299" t="n">
        <x:v>2.6</x:v>
      </x:c>
      <x:c r="H299" t="n">
        <x:v>8</x:v>
      </x:c>
      <x:c r="I299" t="n">
        <x:v>7</x:v>
      </x:c>
      <x:c r="J299" t="n">
        <x:v>24.5</x:v>
      </x:c>
      <x:c r="K299" t="n">
        <x:v>28.1</x:v>
      </x:c>
      <x:c r="L299" t="str">
        <x:v>HOLD</x:v>
      </x:c>
      <x:c r="M299" t="str">
        <x:v>◎✓ + △ᛏ + △ + HOLD</x:v>
      </x:c>
      <x:c r="N299" t="str">
        <x:v>Ne(Closed Gate) with K(Heavy opener): HOLD in model.</x:v>
      </x:c>
    </x:row>
    <x:row r="300">
      <x:c r="A300" t="str">
        <x:v>Ne</x:v>
      </x:c>
      <x:c r="B300" t="str">
        <x:v>Ca</x:v>
      </x:c>
      <x:c r="C300" t="str">
        <x:v>Closed Gate</x:v>
      </x:c>
      <x:c r="D300" t="str">
        <x:v>Tank structure</x:v>
      </x:c>
      <x:c r="E300" t="str">
        <x:v>◎✓</x:v>
      </x:c>
      <x:c r="F300" t="str">
        <x:v>ᛉ□</x:v>
      </x:c>
      <x:c r="G300" t="n">
        <x:v>2.1</x:v>
      </x:c>
      <x:c r="H300" t="n">
        <x:v>18</x:v>
      </x:c>
      <x:c r="I300" t="n">
        <x:v>3.5</x:v>
      </x:c>
      <x:c r="J300" t="n">
        <x:v>32</x:v>
      </x:c>
      <x:c r="K300" t="n">
        <x:v>48.6</x:v>
      </x:c>
      <x:c r="L300" t="str">
        <x:v>REPAIR</x:v>
      </x:c>
      <x:c r="M300" t="str">
        <x:v>◎✓ + ᛉ□ + △ + ↺</x:v>
      </x:c>
      <x:c r="N300" t="str">
        <x:v>Ne(Closed Gate) with Ca(Tank structure): REPAIR in model.</x:v>
      </x:c>
    </x:row>
    <x:row r="301">
      <x:c r="A301" t="str">
        <x:v>Ne</x:v>
      </x:c>
      <x:c r="B301" t="str">
        <x:v>Sc</x:v>
      </x:c>
      <x:c r="C301" t="str">
        <x:v>Closed Gate</x:v>
      </x:c>
      <x:c r="D301" t="str">
        <x:v>Transition bridge</x:v>
      </x:c>
      <x:c r="E301" t="str">
        <x:v>◎✓</x:v>
      </x:c>
      <x:c r="F301" t="str">
        <x:v>↺□</x:v>
      </x:c>
      <x:c r="G301" t="n">
        <x:v>2.2</x:v>
      </x:c>
      <x:c r="H301" t="n">
        <x:v>17</x:v>
      </x:c>
      <x:c r="I301" t="n">
        <x:v>3.5</x:v>
      </x:c>
      <x:c r="J301" t="n">
        <x:v>31.5</x:v>
      </x:c>
      <x:c r="K301" t="n">
        <x:v>47.2</x:v>
      </x:c>
      <x:c r="L301" t="str">
        <x:v>REPAIR</x:v>
      </x:c>
      <x:c r="M301" t="str">
        <x:v>◎✓ + ↺□ + △ + ↺</x:v>
      </x:c>
      <x:c r="N301" t="str">
        <x:v>Ne(Closed Gate) with Sc(Transition bridge): REPAIR in model.</x:v>
      </x:c>
    </x:row>
    <x:row r="302">
      <x:c r="A302" t="str">
        <x:v>Ne</x:v>
      </x:c>
      <x:c r="B302" t="str">
        <x:v>Ti</x:v>
      </x:c>
      <x:c r="C302" t="str">
        <x:v>Closed Gate</x:v>
      </x:c>
      <x:c r="D302" t="str">
        <x:v>Strong structure</x:v>
      </x:c>
      <x:c r="E302" t="str">
        <x:v>◎✓</x:v>
      </x:c>
      <x:c r="F302" t="str">
        <x:v>ᛉ□</x:v>
      </x:c>
      <x:c r="G302" t="n">
        <x:v>2.2</x:v>
      </x:c>
      <x:c r="H302" t="n">
        <x:v>20</x:v>
      </x:c>
      <x:c r="I302" t="n">
        <x:v>2.5</x:v>
      </x:c>
      <x:c r="J302" t="n">
        <x:v>34.5</x:v>
      </x:c>
      <x:c r="K302" t="n">
        <x:v>54.2</x:v>
      </x:c>
      <x:c r="L302" t="str">
        <x:v>REPAIR</x:v>
      </x:c>
      <x:c r="M302" t="str">
        <x:v>◎✓ + ᛉ□ + △ + ↺</x:v>
      </x:c>
      <x:c r="N302" t="str">
        <x:v>Ne(Closed Gate) with Ti(Strong structure): REPAIR in model.</x:v>
      </x:c>
    </x:row>
    <x:row r="303">
      <x:c r="A303" t="str">
        <x:v>Ne</x:v>
      </x:c>
      <x:c r="B303" t="str">
        <x:v>V</x:v>
      </x:c>
      <x:c r="C303" t="str">
        <x:v>Closed Gate</x:v>
      </x:c>
      <x:c r="D303" t="str">
        <x:v>Multi-state gate</x:v>
      </x:c>
      <x:c r="E303" t="str">
        <x:v>◎✓</x:v>
      </x:c>
      <x:c r="F303" t="str">
        <x:v>◎↺</x:v>
      </x:c>
      <x:c r="G303" t="n">
        <x:v>2.8</x:v>
      </x:c>
      <x:c r="H303" t="n">
        <x:v>17</x:v>
      </x:c>
      <x:c r="I303" t="n">
        <x:v>5</x:v>
      </x:c>
      <x:c r="J303" t="n">
        <x:v>32</x:v>
      </x:c>
      <x:c r="K303" t="n">
        <x:v>46.8</x:v>
      </x:c>
      <x:c r="L303" t="str">
        <x:v>REPAIR</x:v>
      </x:c>
      <x:c r="M303" t="str">
        <x:v>◎✓ + ◎↺ + △ + ↺</x:v>
      </x:c>
      <x:c r="N303" t="str">
        <x:v>Ne(Closed Gate) with V(Multi-state gate): REPAIR in model.</x:v>
      </x:c>
    </x:row>
    <x:row r="304">
      <x:c r="A304" t="str">
        <x:v>Ne</x:v>
      </x:c>
      <x:c r="B304" t="str">
        <x:v>Cr</x:v>
      </x:c>
      <x:c r="C304" t="str">
        <x:v>Closed Gate</x:v>
      </x:c>
      <x:c r="D304" t="str">
        <x:v>Surface guardian</x:v>
      </x:c>
      <x:c r="E304" t="str">
        <x:v>◎✓</x:v>
      </x:c>
      <x:c r="F304" t="str">
        <x:v>ᛉ◎</x:v>
      </x:c>
      <x:c r="G304" t="n">
        <x:v>2.6</x:v>
      </x:c>
      <x:c r="H304" t="n">
        <x:v>19</x:v>
      </x:c>
      <x:c r="I304" t="n">
        <x:v>4</x:v>
      </x:c>
      <x:c r="J304" t="n">
        <x:v>34.5</x:v>
      </x:c>
      <x:c r="K304" t="n">
        <x:v>52.1</x:v>
      </x:c>
      <x:c r="L304" t="str">
        <x:v>REPAIR</x:v>
      </x:c>
      <x:c r="M304" t="str">
        <x:v>◎✓ + ᛉ◎ + △ + ↺</x:v>
      </x:c>
      <x:c r="N304" t="str">
        <x:v>Ne(Closed Gate) with Cr(Surface guardian): REPAIR in model.</x:v>
      </x:c>
    </x:row>
    <x:row r="305">
      <x:c r="A305" t="str">
        <x:v>Ne</x:v>
      </x:c>
      <x:c r="B305" t="str">
        <x:v>Mn</x:v>
      </x:c>
      <x:c r="C305" t="str">
        <x:v>Closed Gate</x:v>
      </x:c>
      <x:c r="D305" t="str">
        <x:v>Redox archer</x:v>
      </x:c>
      <x:c r="E305" t="str">
        <x:v>◎✓</x:v>
      </x:c>
      <x:c r="F305" t="str">
        <x:v>ᛏ↺</x:v>
      </x:c>
      <x:c r="G305" t="n">
        <x:v>3.2</x:v>
      </x:c>
      <x:c r="H305" t="n">
        <x:v>15</x:v>
      </x:c>
      <x:c r="I305" t="n">
        <x:v>6</x:v>
      </x:c>
      <x:c r="J305" t="n">
        <x:v>30.5</x:v>
      </x:c>
      <x:c r="K305" t="n">
        <x:v>42.7</x:v>
      </x:c>
      <x:c r="L305" t="str">
        <x:v>REPAIR</x:v>
      </x:c>
      <x:c r="M305" t="str">
        <x:v>◎✓ + ᛏ↺ + △ + ↺</x:v>
      </x:c>
      <x:c r="N305" t="str">
        <x:v>Ne(Closed Gate) with Mn(Redox archer): REPAIR in model.</x:v>
      </x:c>
    </x:row>
    <x:row r="306">
      <x:c r="A306" t="str">
        <x:v>Ne</x:v>
      </x:c>
      <x:c r="B306" t="str">
        <x:v>Fe</x:v>
      </x:c>
      <x:c r="C306" t="str">
        <x:v>Closed Gate</x:v>
      </x:c>
      <x:c r="D306" t="str">
        <x:v>Tank memory</x:v>
      </x:c>
      <x:c r="E306" t="str">
        <x:v>◎✓</x:v>
      </x:c>
      <x:c r="F306" t="str">
        <x:v>ᛉ◉</x:v>
      </x:c>
      <x:c r="G306" t="n">
        <x:v>3</x:v>
      </x:c>
      <x:c r="H306" t="n">
        <x:v>20</x:v>
      </x:c>
      <x:c r="I306" t="n">
        <x:v>4</x:v>
      </x:c>
      <x:c r="J306" t="n">
        <x:v>33.5</x:v>
      </x:c>
      <x:c r="K306" t="n">
        <x:v>52.5</x:v>
      </x:c>
      <x:c r="L306" t="str">
        <x:v>REPAIR</x:v>
      </x:c>
      <x:c r="M306" t="str">
        <x:v>◎✓ + ᛉ◉ + △ + ↺</x:v>
      </x:c>
      <x:c r="N306" t="str">
        <x:v>Ne(Closed Gate) with Fe(Tank memory): REPAIR in model.</x:v>
      </x:c>
    </x:row>
    <x:row r="307">
      <x:c r="A307" t="str">
        <x:v>Ne</x:v>
      </x:c>
      <x:c r="B307" t="str">
        <x:v>Co</x:v>
      </x:c>
      <x:c r="C307" t="str">
        <x:v>Closed Gate</x:v>
      </x:c>
      <x:c r="D307" t="str">
        <x:v>Magnetic bridge</x:v>
      </x:c>
      <x:c r="E307" t="str">
        <x:v>◎✓</x:v>
      </x:c>
      <x:c r="F307" t="str">
        <x:v>◉ᛉ</x:v>
      </x:c>
      <x:c r="G307" t="n">
        <x:v>2.8</x:v>
      </x:c>
      <x:c r="H307" t="n">
        <x:v>19</x:v>
      </x:c>
      <x:c r="I307" t="n">
        <x:v>4</x:v>
      </x:c>
      <x:c r="J307" t="n">
        <x:v>33</x:v>
      </x:c>
      <x:c r="K307" t="n">
        <x:v>50.8</x:v>
      </x:c>
      <x:c r="L307" t="str">
        <x:v>REPAIR</x:v>
      </x:c>
      <x:c r="M307" t="str">
        <x:v>◎✓ + ◉ᛉ + △ + ↺</x:v>
      </x:c>
      <x:c r="N307" t="str">
        <x:v>Ne(Closed Gate) with Co(Magnetic bridge): REPAIR in model.</x:v>
      </x:c>
    </x:row>
    <x:row r="308">
      <x:c r="A308" t="str">
        <x:v>Ne</x:v>
      </x:c>
      <x:c r="B308" t="str">
        <x:v>Ni</x:v>
      </x:c>
      <x:c r="C308" t="str">
        <x:v>Closed Gate</x:v>
      </x:c>
      <x:c r="D308" t="str">
        <x:v>Catalytic guard</x:v>
      </x:c>
      <x:c r="E308" t="str">
        <x:v>◎✓</x:v>
      </x:c>
      <x:c r="F308" t="str">
        <x:v>◎↺</x:v>
      </x:c>
      <x:c r="G308" t="n">
        <x:v>2.8</x:v>
      </x:c>
      <x:c r="H308" t="n">
        <x:v>19</x:v>
      </x:c>
      <x:c r="I308" t="n">
        <x:v>3.5</x:v>
      </x:c>
      <x:c r="J308" t="n">
        <x:v>34</x:v>
      </x:c>
      <x:c r="K308" t="n">
        <x:v>52.3</x:v>
      </x:c>
      <x:c r="L308" t="str">
        <x:v>REPAIR</x:v>
      </x:c>
      <x:c r="M308" t="str">
        <x:v>◎✓ + ◎↺ + △ + ↺</x:v>
      </x:c>
      <x:c r="N308" t="str">
        <x:v>Ne(Closed Gate) with Ni(Catalytic guard): REPAIR in model.</x:v>
      </x:c>
    </x:row>
    <x:row r="309">
      <x:c r="A309" t="str">
        <x:v>Ne</x:v>
      </x:c>
      <x:c r="B309" t="str">
        <x:v>Cu</x:v>
      </x:c>
      <x:c r="C309" t="str">
        <x:v>Closed Gate</x:v>
      </x:c>
      <x:c r="D309" t="str">
        <x:v>Conductor flow</x:v>
      </x:c>
      <x:c r="E309" t="str">
        <x:v>◎✓</x:v>
      </x:c>
      <x:c r="F309" t="str">
        <x:v>↺ᛏ</x:v>
      </x:c>
      <x:c r="G309" t="n">
        <x:v>2.9</x:v>
      </x:c>
      <x:c r="H309" t="n">
        <x:v>17</x:v>
      </x:c>
      <x:c r="I309" t="n">
        <x:v>3</x:v>
      </x:c>
      <x:c r="J309" t="n">
        <x:v>33</x:v>
      </x:c>
      <x:c r="K309" t="n">
        <x:v>49.9</x:v>
      </x:c>
      <x:c r="L309" t="str">
        <x:v>REPAIR</x:v>
      </x:c>
      <x:c r="M309" t="str">
        <x:v>◎✓ + ↺ᛏ + △ + ↺</x:v>
      </x:c>
      <x:c r="N309" t="str">
        <x:v>Ne(Closed Gate) with Cu(Conductor flow): REPAIR in model.</x:v>
      </x:c>
    </x:row>
    <x:row r="310">
      <x:c r="A310" t="str">
        <x:v>Ne</x:v>
      </x:c>
      <x:c r="B310" t="str">
        <x:v>Zn</x:v>
      </x:c>
      <x:c r="C310" t="str">
        <x:v>Closed Gate</x:v>
      </x:c>
      <x:c r="D310" t="str">
        <x:v>Enzyme stabilizer</x:v>
      </x:c>
      <x:c r="E310" t="str">
        <x:v>◎✓</x:v>
      </x:c>
      <x:c r="F310" t="str">
        <x:v>◎□</x:v>
      </x:c>
      <x:c r="G310" t="n">
        <x:v>2.1</x:v>
      </x:c>
      <x:c r="H310" t="n">
        <x:v>19</x:v>
      </x:c>
      <x:c r="I310" t="n">
        <x:v>2.5</x:v>
      </x:c>
      <x:c r="J310" t="n">
        <x:v>36</x:v>
      </x:c>
      <x:c r="K310" t="n">
        <x:v>54.6</x:v>
      </x:c>
      <x:c r="L310" t="str">
        <x:v>REPAIR</x:v>
      </x:c>
      <x:c r="M310" t="str">
        <x:v>◎✓ + ◎□ + △ + ↺</x:v>
      </x:c>
      <x:c r="N310" t="str">
        <x:v>Ne(Closed Gate) with Zn(Enzyme stabilizer): REPAIR in model.</x:v>
      </x:c>
    </x:row>
    <x:row r="311">
      <x:c r="A311" t="str">
        <x:v>Ne</x:v>
      </x:c>
      <x:c r="B311" t="str">
        <x:v>Ga</x:v>
      </x:c>
      <x:c r="C311" t="str">
        <x:v>Closed Gate</x:v>
      </x:c>
      <x:c r="D311" t="str">
        <x:v>Soft form gate</x:v>
      </x:c>
      <x:c r="E311" t="str">
        <x:v>◎✓</x:v>
      </x:c>
      <x:c r="F311" t="str">
        <x:v>□↺</x:v>
      </x:c>
      <x:c r="G311" t="n">
        <x:v>2.1</x:v>
      </x:c>
      <x:c r="H311" t="n">
        <x:v>16</x:v>
      </x:c>
      <x:c r="I311" t="n">
        <x:v>3.5</x:v>
      </x:c>
      <x:c r="J311" t="n">
        <x:v>31</x:v>
      </x:c>
      <x:c r="K311" t="n">
        <x:v>45.6</x:v>
      </x:c>
      <x:c r="L311" t="str">
        <x:v>REPAIR</x:v>
      </x:c>
      <x:c r="M311" t="str">
        <x:v>◎✓ + □↺ + △ + ↺</x:v>
      </x:c>
      <x:c r="N311" t="str">
        <x:v>Ne(Closed Gate) with Ga(Soft form gate): REPAIR in model.</x:v>
      </x:c>
    </x:row>
    <x:row r="312">
      <x:c r="A312" t="str">
        <x:v>Ne</x:v>
      </x:c>
      <x:c r="B312" t="str">
        <x:v>Ge</x:v>
      </x:c>
      <x:c r="C312" t="str">
        <x:v>Closed Gate</x:v>
      </x:c>
      <x:c r="D312" t="str">
        <x:v>Semi lattice</x:v>
      </x:c>
      <x:c r="E312" t="str">
        <x:v>◎✓</x:v>
      </x:c>
      <x:c r="F312" t="str">
        <x:v>□◎</x:v>
      </x:c>
      <x:c r="G312" t="n">
        <x:v>2.1</x:v>
      </x:c>
      <x:c r="H312" t="n">
        <x:v>19</x:v>
      </x:c>
      <x:c r="I312" t="n">
        <x:v>3</x:v>
      </x:c>
      <x:c r="J312" t="n">
        <x:v>33.5</x:v>
      </x:c>
      <x:c r="K312" t="n">
        <x:v>51.6</x:v>
      </x:c>
      <x:c r="L312" t="str">
        <x:v>REPAIR</x:v>
      </x:c>
      <x:c r="M312" t="str">
        <x:v>◎✓ + □◎ + △ + ↺</x:v>
      </x:c>
      <x:c r="N312" t="str">
        <x:v>Ne(Closed Gate) with Ge(Semi lattice): REPAIR in model.</x:v>
      </x:c>
    </x:row>
    <x:row r="313">
      <x:c r="A313" t="str">
        <x:v>Ne</x:v>
      </x:c>
      <x:c r="B313" t="str">
        <x:v>As</x:v>
      </x:c>
      <x:c r="C313" t="str">
        <x:v>Closed Gate</x:v>
      </x:c>
      <x:c r="D313" t="str">
        <x:v>Shadow gate</x:v>
      </x:c>
      <x:c r="E313" t="str">
        <x:v>◎✓</x:v>
      </x:c>
      <x:c r="F313" t="str">
        <x:v>∅◎</x:v>
      </x:c>
      <x:c r="G313" t="n">
        <x:v>2.6</x:v>
      </x:c>
      <x:c r="H313" t="n">
        <x:v>15</x:v>
      </x:c>
      <x:c r="I313" t="n">
        <x:v>8</x:v>
      </x:c>
      <x:c r="J313" t="n">
        <x:v>28.5</x:v>
      </x:c>
      <x:c r="K313" t="n">
        <x:v>38.1</x:v>
      </x:c>
      <x:c r="L313" t="str">
        <x:v>HOLD</x:v>
      </x:c>
      <x:c r="M313" t="str">
        <x:v>◎✓ + ∅◎ + △ + HOLD</x:v>
      </x:c>
      <x:c r="N313" t="str">
        <x:v>Ne(Closed Gate) with As(Shadow gate): HOLD in model.</x:v>
      </x:c>
    </x:row>
    <x:row r="314">
      <x:c r="A314" t="str">
        <x:v>Ne</x:v>
      </x:c>
      <x:c r="B314" t="str">
        <x:v>Se</x:v>
      </x:c>
      <x:c r="C314" t="str">
        <x:v>Closed Gate</x:v>
      </x:c>
      <x:c r="D314" t="str">
        <x:v>Trace healer</x:v>
      </x:c>
      <x:c r="E314" t="str">
        <x:v>◎✓</x:v>
      </x:c>
      <x:c r="F314" t="str">
        <x:v>↺◉</x:v>
      </x:c>
      <x:c r="G314" t="n">
        <x:v>2.8</x:v>
      </x:c>
      <x:c r="H314" t="n">
        <x:v>15</x:v>
      </x:c>
      <x:c r="I314" t="n">
        <x:v>4.5</x:v>
      </x:c>
      <x:c r="J314" t="n">
        <x:v>32</x:v>
      </x:c>
      <x:c r="K314" t="n">
        <x:v>45.3</x:v>
      </x:c>
      <x:c r="L314" t="str">
        <x:v>REPAIR</x:v>
      </x:c>
      <x:c r="M314" t="str">
        <x:v>◎✓ + ↺◉ + △ + ↺</x:v>
      </x:c>
      <x:c r="N314" t="str">
        <x:v>Ne(Closed Gate) with Se(Trace healer): REPAIR in model.</x:v>
      </x:c>
    </x:row>
    <x:row r="315">
      <x:c r="A315" t="str">
        <x:v>Ne</x:v>
      </x:c>
      <x:c r="B315" t="str">
        <x:v>Br</x:v>
      </x:c>
      <x:c r="C315" t="str">
        <x:v>Closed Gate</x:v>
      </x:c>
      <x:c r="D315" t="str">
        <x:v>Heavy receiver</x:v>
      </x:c>
      <x:c r="E315" t="str">
        <x:v>◎✓</x:v>
      </x:c>
      <x:c r="F315" t="str">
        <x:v>▽∅</x:v>
      </x:c>
      <x:c r="G315" t="n">
        <x:v>3.9</x:v>
      </x:c>
      <x:c r="H315" t="n">
        <x:v>11</x:v>
      </x:c>
      <x:c r="I315" t="n">
        <x:v>6</x:v>
      </x:c>
      <x:c r="J315" t="n">
        <x:v>31</x:v>
      </x:c>
      <x:c r="K315" t="n">
        <x:v>39.9</x:v>
      </x:c>
      <x:c r="L315" t="str">
        <x:v>HOLD</x:v>
      </x:c>
      <x:c r="M315" t="str">
        <x:v>◎✓ + ▽∅ + △ + HOLD</x:v>
      </x:c>
      <x:c r="N315" t="str">
        <x:v>Ne(Closed Gate) with Br(Heavy receiver): HOLD in model.</x:v>
      </x:c>
    </x:row>
    <x:row r="316">
      <x:c r="A316" t="str">
        <x:v>Ne</x:v>
      </x:c>
      <x:c r="B316" t="str">
        <x:v>Kr</x:v>
      </x:c>
      <x:c r="C316" t="str">
        <x:v>Closed Gate</x:v>
      </x:c>
      <x:c r="D316" t="str">
        <x:v>Closed Gate light</x:v>
      </x:c>
      <x:c r="E316" t="str">
        <x:v>◎✓</x:v>
      </x:c>
      <x:c r="F316" t="str">
        <x:v>◎✓</x:v>
      </x:c>
      <x:c r="G316" t="n">
        <x:v>0.3</x:v>
      </x:c>
      <x:c r="H316" t="n">
        <x:v>20</x:v>
      </x:c>
      <x:c r="I316" t="n">
        <x:v>1</x:v>
      </x:c>
      <x:c r="J316" t="n">
        <x:v>39</x:v>
      </x:c>
      <x:c r="K316" t="n">
        <x:v>58.3</x:v>
      </x:c>
      <x:c r="L316" t="str">
        <x:v>ASK</x:v>
      </x:c>
      <x:c r="M316" t="str">
        <x:v>◎✓ + ◎✓ + △ + ◎?</x:v>
      </x:c>
      <x:c r="N316" t="str">
        <x:v>Ne(Closed Gate) with Kr(Closed Gate light): ASK in model.</x:v>
      </x:c>
    </x:row>
    <x:row r="317">
      <x:c r="A317" t="str">
        <x:v>Na</x:v>
      </x:c>
      <x:c r="B317" t="str">
        <x:v>Na</x:v>
      </x:c>
      <x:c r="C317" t="str">
        <x:v>Strong donor</x:v>
      </x:c>
      <x:c r="D317" t="str">
        <x:v>Strong donor</x:v>
      </x:c>
      <x:c r="E317" t="str">
        <x:v>△ᛏ</x:v>
      </x:c>
      <x:c r="F317" t="str">
        <x:v>△ᛏ</x:v>
      </x:c>
      <x:c r="G317" t="n">
        <x:v>9</x:v>
      </x:c>
      <x:c r="H317" t="n">
        <x:v>20</x:v>
      </x:c>
      <x:c r="I317" t="n">
        <x:v>11</x:v>
      </x:c>
      <x:c r="J317" t="n">
        <x:v>12</x:v>
      </x:c>
      <x:c r="K317" t="n">
        <x:v>30</x:v>
      </x:c>
      <x:c r="L317" t="str">
        <x:v>HOLD</x:v>
      </x:c>
      <x:c r="M317" t="str">
        <x:v>△ᛏ + △ᛏ + △ + HOLD</x:v>
      </x:c>
      <x:c r="N317" t="str">
        <x:v>Na(Strong donor) with Na(Strong donor): HOLD in model.</x:v>
      </x:c>
    </x:row>
    <x:row r="318">
      <x:c r="A318" t="str">
        <x:v>Na</x:v>
      </x:c>
      <x:c r="B318" t="str">
        <x:v>Mg</x:v>
      </x:c>
      <x:c r="C318" t="str">
        <x:v>Strong donor</x:v>
      </x:c>
      <x:c r="D318" t="str">
        <x:v>Structure donor</x:v>
      </x:c>
      <x:c r="E318" t="str">
        <x:v>△ᛏ</x:v>
      </x:c>
      <x:c r="F318" t="str">
        <x:v>□△</x:v>
      </x:c>
      <x:c r="G318" t="n">
        <x:v>12.3</x:v>
      </x:c>
      <x:c r="H318" t="n">
        <x:v>12</x:v>
      </x:c>
      <x:c r="I318" t="n">
        <x:v>9</x:v>
      </x:c>
      <x:c r="J318" t="n">
        <x:v>16.5</x:v>
      </x:c>
      <x:c r="K318" t="n">
        <x:v>31.8</x:v>
      </x:c>
      <x:c r="L318" t="str">
        <x:v>HOLD</x:v>
      </x:c>
      <x:c r="M318" t="str">
        <x:v>△ᛏ + □△ + △ + HOLD</x:v>
      </x:c>
      <x:c r="N318" t="str">
        <x:v>Na(Strong donor) with Mg(Structure donor): HOLD in model.</x:v>
      </x:c>
    </x:row>
    <x:row r="319">
      <x:c r="A319" t="str">
        <x:v>Na</x:v>
      </x:c>
      <x:c r="B319" t="str">
        <x:v>Al</x:v>
      </x:c>
      <x:c r="C319" t="str">
        <x:v>Strong donor</x:v>
      </x:c>
      <x:c r="D319" t="str">
        <x:v>Form builder</x:v>
      </x:c>
      <x:c r="E319" t="str">
        <x:v>△ᛏ</x:v>
      </x:c>
      <x:c r="F319" t="str">
        <x:v>□◎</x:v>
      </x:c>
      <x:c r="G319" t="n">
        <x:v>18.5</x:v>
      </x:c>
      <x:c r="H319" t="n">
        <x:v>10</x:v>
      </x:c>
      <x:c r="I319" t="n">
        <x:v>8</x:v>
      </x:c>
      <x:c r="J319" t="n">
        <x:v>18.5</x:v>
      </x:c>
      <x:c r="K319" t="n">
        <x:v>39</x:v>
      </x:c>
      <x:c r="L319" t="str">
        <x:v>HOLD</x:v>
      </x:c>
      <x:c r="M319" t="str">
        <x:v>△ᛏ + □◎ + △ + HOLD</x:v>
      </x:c>
      <x:c r="N319" t="str">
        <x:v>Na(Strong donor) with Al(Form builder): HOLD in model.</x:v>
      </x:c>
    </x:row>
    <x:row r="320">
      <x:c r="A320" t="str">
        <x:v>Na</x:v>
      </x:c>
      <x:c r="B320" t="str">
        <x:v>Si</x:v>
      </x:c>
      <x:c r="C320" t="str">
        <x:v>Strong donor</x:v>
      </x:c>
      <x:c r="D320" t="str">
        <x:v>Lattice engineer</x:v>
      </x:c>
      <x:c r="E320" t="str">
        <x:v>△ᛏ</x:v>
      </x:c>
      <x:c r="F320" t="str">
        <x:v>□◉</x:v>
      </x:c>
      <x:c r="G320" t="n">
        <x:v>22.3</x:v>
      </x:c>
      <x:c r="H320" t="n">
        <x:v>7</x:v>
      </x:c>
      <x:c r="I320" t="n">
        <x:v>7.5</x:v>
      </x:c>
      <x:c r="J320" t="n">
        <x:v>21</x:v>
      </x:c>
      <x:c r="K320" t="n">
        <x:v>42.8</x:v>
      </x:c>
      <x:c r="L320" t="str">
        <x:v>REPAIR</x:v>
      </x:c>
      <x:c r="M320" t="str">
        <x:v>△ᛏ + □◉ + △ + ↺</x:v>
      </x:c>
      <x:c r="N320" t="str">
        <x:v>Na(Strong donor) with Si(Lattice engineer): REPAIR in model.</x:v>
      </x:c>
    </x:row>
    <x:row r="321">
      <x:c r="A321" t="str">
        <x:v>Na</x:v>
      </x:c>
      <x:c r="B321" t="str">
        <x:v>P</x:v>
      </x:c>
      <x:c r="C321" t="str">
        <x:v>Strong donor</x:v>
      </x:c>
      <x:c r="D321" t="str">
        <x:v>Energy memory</x:v>
      </x:c>
      <x:c r="E321" t="str">
        <x:v>△ᛏ</x:v>
      </x:c>
      <x:c r="F321" t="str">
        <x:v>◉△</x:v>
      </x:c>
      <x:c r="G321" t="n">
        <x:v>32.5</x:v>
      </x:c>
      <x:c r="H321" t="n">
        <x:v>14</x:v>
      </x:c>
      <x:c r="I321" t="n">
        <x:v>9.5</x:v>
      </x:c>
      <x:c r="J321" t="n">
        <x:v>18.5</x:v>
      </x:c>
      <x:c r="K321" t="n">
        <x:v>55.5</x:v>
      </x:c>
      <x:c r="L321" t="str">
        <x:v>REPAIR</x:v>
      </x:c>
      <x:c r="M321" t="str">
        <x:v>△ᛏ + ◉△ + △ + ↺</x:v>
      </x:c>
      <x:c r="N321" t="str">
        <x:v>Na(Strong donor) with P(Energy memory): REPAIR in model.</x:v>
      </x:c>
    </x:row>
    <x:row r="322">
      <x:c r="A322" t="str">
        <x:v>Na</x:v>
      </x:c>
      <x:c r="B322" t="str">
        <x:v>S</x:v>
      </x:c>
      <x:c r="C322" t="str">
        <x:v>Strong donor</x:v>
      </x:c>
      <x:c r="D322" t="str">
        <x:v>Connector phase</x:v>
      </x:c>
      <x:c r="E322" t="str">
        <x:v>△ᛏ</x:v>
      </x:c>
      <x:c r="F322" t="str">
        <x:v>↺▽</x:v>
      </x:c>
      <x:c r="G322" t="n">
        <x:v>34.2</x:v>
      </x:c>
      <x:c r="H322" t="n">
        <x:v>13</x:v>
      </x:c>
      <x:c r="I322" t="n">
        <x:v>9</x:v>
      </x:c>
      <x:c r="J322" t="n">
        <x:v>18</x:v>
      </x:c>
      <x:c r="K322" t="n">
        <x:v>56.2</x:v>
      </x:c>
      <x:c r="L322" t="str">
        <x:v>REPAIR</x:v>
      </x:c>
      <x:c r="M322" t="str">
        <x:v>△ᛏ + ↺▽ + △ + ↺</x:v>
      </x:c>
      <x:c r="N322" t="str">
        <x:v>Na(Strong donor) with S(Connector phase): REPAIR in model.</x:v>
      </x:c>
    </x:row>
    <x:row r="323">
      <x:c r="A323" t="str">
        <x:v>Na</x:v>
      </x:c>
      <x:c r="B323" t="str">
        <x:v>Cl</x:v>
      </x:c>
      <x:c r="C323" t="str">
        <x:v>Strong donor</x:v>
      </x:c>
      <x:c r="D323" t="str">
        <x:v>Receiver closure</x:v>
      </x:c>
      <x:c r="E323" t="str">
        <x:v>△ᛏ</x:v>
      </x:c>
      <x:c r="F323" t="str">
        <x:v>▽◎</x:v>
      </x:c>
      <x:c r="G323" t="n">
        <x:v>46.2</x:v>
      </x:c>
      <x:c r="H323" t="n">
        <x:v>18</x:v>
      </x:c>
      <x:c r="I323" t="n">
        <x:v>10</x:v>
      </x:c>
      <x:c r="J323" t="n">
        <x:v>19</x:v>
      </x:c>
      <x:c r="K323" t="n">
        <x:v>73.2</x:v>
      </x:c>
      <x:c r="L323" t="str">
        <x:v>ASK</x:v>
      </x:c>
      <x:c r="M323" t="str">
        <x:v>△ᛏ + ▽◎ + △ + ◎?</x:v>
      </x:c>
      <x:c r="N323" t="str">
        <x:v>Na(Strong donor) with Cl(Receiver closure): ASK in model.</x:v>
      </x:c>
    </x:row>
    <x:row r="324">
      <x:c r="A324" t="str">
        <x:v>Na</x:v>
      </x:c>
      <x:c r="B324" t="str">
        <x:v>Ar</x:v>
      </x:c>
      <x:c r="C324" t="str">
        <x:v>Strong donor</x:v>
      </x:c>
      <x:c r="D324" t="str">
        <x:v>Closed Gate</x:v>
      </x:c>
      <x:c r="E324" t="str">
        <x:v>△ᛏ</x:v>
      </x:c>
      <x:c r="F324" t="str">
        <x:v>◎✓</x:v>
      </x:c>
      <x:c r="G324" t="n">
        <x:v>2.5</x:v>
      </x:c>
      <x:c r="H324" t="n">
        <x:v>8</x:v>
      </x:c>
      <x:c r="I324" t="n">
        <x:v>6</x:v>
      </x:c>
      <x:c r="J324" t="n">
        <x:v>25.5</x:v>
      </x:c>
      <x:c r="K324" t="n">
        <x:v>30</x:v>
      </x:c>
      <x:c r="L324" t="str">
        <x:v>HOLD</x:v>
      </x:c>
      <x:c r="M324" t="str">
        <x:v>△ᛏ + ◎✓ + △ + HOLD</x:v>
      </x:c>
      <x:c r="N324" t="str">
        <x:v>Na(Strong donor) with Ar(Closed Gate): HOLD in model.</x:v>
      </x:c>
    </x:row>
    <x:row r="325">
      <x:c r="A325" t="str">
        <x:v>Na</x:v>
      </x:c>
      <x:c r="B325" t="str">
        <x:v>K</x:v>
      </x:c>
      <x:c r="C325" t="str">
        <x:v>Strong donor</x:v>
      </x:c>
      <x:c r="D325" t="str">
        <x:v>Heavy opener</x:v>
      </x:c>
      <x:c r="E325" t="str">
        <x:v>△ᛏ</x:v>
      </x:c>
      <x:c r="F325" t="str">
        <x:v>△ᛏ</x:v>
      </x:c>
      <x:c r="G325" t="n">
        <x:v>9.2</x:v>
      </x:c>
      <x:c r="H325" t="n">
        <x:v>20</x:v>
      </x:c>
      <x:c r="I325" t="n">
        <x:v>12</x:v>
      </x:c>
      <x:c r="J325" t="n">
        <x:v>11</x:v>
      </x:c>
      <x:c r="K325" t="n">
        <x:v>28.2</x:v>
      </x:c>
      <x:c r="L325" t="str">
        <x:v>HOLD</x:v>
      </x:c>
      <x:c r="M325" t="str">
        <x:v>△ᛏ + △ᛏ + △ + HOLD</x:v>
      </x:c>
      <x:c r="N325" t="str">
        <x:v>Na(Strong donor) with K(Heavy opener): HOLD in model.</x:v>
      </x:c>
    </x:row>
    <x:row r="326">
      <x:c r="A326" t="str">
        <x:v>Na</x:v>
      </x:c>
      <x:c r="B326" t="str">
        <x:v>Ca</x:v>
      </x:c>
      <x:c r="C326" t="str">
        <x:v>Strong donor</x:v>
      </x:c>
      <x:c r="D326" t="str">
        <x:v>Tank structure</x:v>
      </x:c>
      <x:c r="E326" t="str">
        <x:v>△ᛏ</x:v>
      </x:c>
      <x:c r="F326" t="str">
        <x:v>ᛉ□</x:v>
      </x:c>
      <x:c r="G326" t="n">
        <x:v>14.3</x:v>
      </x:c>
      <x:c r="H326" t="n">
        <x:v>10</x:v>
      </x:c>
      <x:c r="I326" t="n">
        <x:v>8.5</x:v>
      </x:c>
      <x:c r="J326" t="n">
        <x:v>18.5</x:v>
      </x:c>
      <x:c r="K326" t="n">
        <x:v>34.3</x:v>
      </x:c>
      <x:c r="L326" t="str">
        <x:v>HOLD</x:v>
      </x:c>
      <x:c r="M326" t="str">
        <x:v>△ᛏ + ᛉ□ + △ + HOLD</x:v>
      </x:c>
      <x:c r="N326" t="str">
        <x:v>Na(Strong donor) with Ca(Tank structure): HOLD in model.</x:v>
      </x:c>
    </x:row>
    <x:row r="327">
      <x:c r="A327" t="str">
        <x:v>Na</x:v>
      </x:c>
      <x:c r="B327" t="str">
        <x:v>Sc</x:v>
      </x:c>
      <x:c r="C327" t="str">
        <x:v>Strong donor</x:v>
      </x:c>
      <x:c r="D327" t="str">
        <x:v>Transition bridge</x:v>
      </x:c>
      <x:c r="E327" t="str">
        <x:v>△ᛏ</x:v>
      </x:c>
      <x:c r="F327" t="str">
        <x:v>↺□</x:v>
      </x:c>
      <x:c r="G327" t="n">
        <x:v>18.5</x:v>
      </x:c>
      <x:c r="H327" t="n">
        <x:v>11</x:v>
      </x:c>
      <x:c r="I327" t="n">
        <x:v>8.5</x:v>
      </x:c>
      <x:c r="J327" t="n">
        <x:v>18</x:v>
      </x:c>
      <x:c r="K327" t="n">
        <x:v>39</x:v>
      </x:c>
      <x:c r="L327" t="str">
        <x:v>HOLD</x:v>
      </x:c>
      <x:c r="M327" t="str">
        <x:v>△ᛏ + ↺□ + △ + HOLD</x:v>
      </x:c>
      <x:c r="N327" t="str">
        <x:v>Na(Strong donor) with Sc(Transition bridge): HOLD in model.</x:v>
      </x:c>
    </x:row>
    <x:row r="328">
      <x:c r="A328" t="str">
        <x:v>Na</x:v>
      </x:c>
      <x:c r="B328" t="str">
        <x:v>Ti</x:v>
      </x:c>
      <x:c r="C328" t="str">
        <x:v>Strong donor</x:v>
      </x:c>
      <x:c r="D328" t="str">
        <x:v>Strong structure</x:v>
      </x:c>
      <x:c r="E328" t="str">
        <x:v>△ᛏ</x:v>
      </x:c>
      <x:c r="F328" t="str">
        <x:v>ᛉ□</x:v>
      </x:c>
      <x:c r="G328" t="n">
        <x:v>18.5</x:v>
      </x:c>
      <x:c r="H328" t="n">
        <x:v>8</x:v>
      </x:c>
      <x:c r="I328" t="n">
        <x:v>7.5</x:v>
      </x:c>
      <x:c r="J328" t="n">
        <x:v>21</x:v>
      </x:c>
      <x:c r="K328" t="n">
        <x:v>40</x:v>
      </x:c>
      <x:c r="L328" t="str">
        <x:v>HOLD</x:v>
      </x:c>
      <x:c r="M328" t="str">
        <x:v>△ᛏ + ᛉ□ + △ + HOLD</x:v>
      </x:c>
      <x:c r="N328" t="str">
        <x:v>Na(Strong donor) with Ti(Strong structure): HOLD in model.</x:v>
      </x:c>
    </x:row>
    <x:row r="329">
      <x:c r="A329" t="str">
        <x:v>Na</x:v>
      </x:c>
      <x:c r="B329" t="str">
        <x:v>V</x:v>
      </x:c>
      <x:c r="C329" t="str">
        <x:v>Strong donor</x:v>
      </x:c>
      <x:c r="D329" t="str">
        <x:v>Multi-state gate</x:v>
      </x:c>
      <x:c r="E329" t="str">
        <x:v>△ᛏ</x:v>
      </x:c>
      <x:c r="F329" t="str">
        <x:v>◎↺</x:v>
      </x:c>
      <x:c r="G329" t="n">
        <x:v>23.5</x:v>
      </x:c>
      <x:c r="H329" t="n">
        <x:v>11</x:v>
      </x:c>
      <x:c r="I329" t="n">
        <x:v>10</x:v>
      </x:c>
      <x:c r="J329" t="n">
        <x:v>18.5</x:v>
      </x:c>
      <x:c r="K329" t="n">
        <x:v>43</x:v>
      </x:c>
      <x:c r="L329" t="str">
        <x:v>REPAIR</x:v>
      </x:c>
      <x:c r="M329" t="str">
        <x:v>△ᛏ + ◎↺ + △ + ↺</x:v>
      </x:c>
      <x:c r="N329" t="str">
        <x:v>Na(Strong donor) with V(Multi-state gate): REPAIR in model.</x:v>
      </x:c>
    </x:row>
    <x:row r="330">
      <x:c r="A330" t="str">
        <x:v>Na</x:v>
      </x:c>
      <x:c r="B330" t="str">
        <x:v>Cr</x:v>
      </x:c>
      <x:c r="C330" t="str">
        <x:v>Strong donor</x:v>
      </x:c>
      <x:c r="D330" t="str">
        <x:v>Surface guardian</x:v>
      </x:c>
      <x:c r="E330" t="str">
        <x:v>△ᛏ</x:v>
      </x:c>
      <x:c r="F330" t="str">
        <x:v>ᛉ◎</x:v>
      </x:c>
      <x:c r="G330" t="n">
        <x:v>23.2</x:v>
      </x:c>
      <x:c r="H330" t="n">
        <x:v>9</x:v>
      </x:c>
      <x:c r="I330" t="n">
        <x:v>9</x:v>
      </x:c>
      <x:c r="J330" t="n">
        <x:v>21</x:v>
      </x:c>
      <x:c r="K330" t="n">
        <x:v>44.2</x:v>
      </x:c>
      <x:c r="L330" t="str">
        <x:v>REPAIR</x:v>
      </x:c>
      <x:c r="M330" t="str">
        <x:v>△ᛏ + ᛉ◎ + △ + ↺</x:v>
      </x:c>
      <x:c r="N330" t="str">
        <x:v>Na(Strong donor) with Cr(Surface guardian): REPAIR in model.</x:v>
      </x:c>
    </x:row>
    <x:row r="331">
      <x:c r="A331" t="str">
        <x:v>Na</x:v>
      </x:c>
      <x:c r="B331" t="str">
        <x:v>Mn</x:v>
      </x:c>
      <x:c r="C331" t="str">
        <x:v>Strong donor</x:v>
      </x:c>
      <x:c r="D331" t="str">
        <x:v>Redox archer</x:v>
      </x:c>
      <x:c r="E331" t="str">
        <x:v>△ᛏ</x:v>
      </x:c>
      <x:c r="F331" t="str">
        <x:v>ᛏ↺</x:v>
      </x:c>
      <x:c r="G331" t="n">
        <x:v>28.5</x:v>
      </x:c>
      <x:c r="H331" t="n">
        <x:v>13</x:v>
      </x:c>
      <x:c r="I331" t="n">
        <x:v>11</x:v>
      </x:c>
      <x:c r="J331" t="n">
        <x:v>17</x:v>
      </x:c>
      <x:c r="K331" t="n">
        <x:v>47.5</x:v>
      </x:c>
      <x:c r="L331" t="str">
        <x:v>REPAIR</x:v>
      </x:c>
      <x:c r="M331" t="str">
        <x:v>△ᛏ + ᛏ↺ + △ + ↺</x:v>
      </x:c>
      <x:c r="N331" t="str">
        <x:v>Na(Strong donor) with Mn(Redox archer): REPAIR in model.</x:v>
      </x:c>
    </x:row>
    <x:row r="332">
      <x:c r="A332" t="str">
        <x:v>Na</x:v>
      </x:c>
      <x:c r="B332" t="str">
        <x:v>Fe</x:v>
      </x:c>
      <x:c r="C332" t="str">
        <x:v>Strong donor</x:v>
      </x:c>
      <x:c r="D332" t="str">
        <x:v>Tank memory</x:v>
      </x:c>
      <x:c r="E332" t="str">
        <x:v>△ᛏ</x:v>
      </x:c>
      <x:c r="F332" t="str">
        <x:v>ᛉ◉</x:v>
      </x:c>
      <x:c r="G332" t="n">
        <x:v>28</x:v>
      </x:c>
      <x:c r="H332" t="n">
        <x:v>8</x:v>
      </x:c>
      <x:c r="I332" t="n">
        <x:v>9</x:v>
      </x:c>
      <x:c r="J332" t="n">
        <x:v>20</x:v>
      </x:c>
      <x:c r="K332" t="n">
        <x:v>47</x:v>
      </x:c>
      <x:c r="L332" t="str">
        <x:v>REPAIR</x:v>
      </x:c>
      <x:c r="M332" t="str">
        <x:v>△ᛏ + ᛉ◉ + △ + ↺</x:v>
      </x:c>
      <x:c r="N332" t="str">
        <x:v>Na(Strong donor) with Fe(Tank memory): REPAIR in model.</x:v>
      </x:c>
    </x:row>
    <x:row r="333">
      <x:c r="A333" t="str">
        <x:v>Na</x:v>
      </x:c>
      <x:c r="B333" t="str">
        <x:v>Co</x:v>
      </x:c>
      <x:c r="C333" t="str">
        <x:v>Strong donor</x:v>
      </x:c>
      <x:c r="D333" t="str">
        <x:v>Magnetic bridge</x:v>
      </x:c>
      <x:c r="E333" t="str">
        <x:v>△ᛏ</x:v>
      </x:c>
      <x:c r="F333" t="str">
        <x:v>◉ᛉ</x:v>
      </x:c>
      <x:c r="G333" t="n">
        <x:v>25.5</x:v>
      </x:c>
      <x:c r="H333" t="n">
        <x:v>9</x:v>
      </x:c>
      <x:c r="I333" t="n">
        <x:v>9</x:v>
      </x:c>
      <x:c r="J333" t="n">
        <x:v>19.5</x:v>
      </x:c>
      <x:c r="K333" t="n">
        <x:v>45</x:v>
      </x:c>
      <x:c r="L333" t="str">
        <x:v>REPAIR</x:v>
      </x:c>
      <x:c r="M333" t="str">
        <x:v>△ᛏ + ◉ᛉ + △ + ↺</x:v>
      </x:c>
      <x:c r="N333" t="str">
        <x:v>Na(Strong donor) with Co(Magnetic bridge): REPAIR in model.</x:v>
      </x:c>
    </x:row>
    <x:row r="334">
      <x:c r="A334" t="str">
        <x:v>Na</x:v>
      </x:c>
      <x:c r="B334" t="str">
        <x:v>Ni</x:v>
      </x:c>
      <x:c r="C334" t="str">
        <x:v>Strong donor</x:v>
      </x:c>
      <x:c r="D334" t="str">
        <x:v>Catalytic guard</x:v>
      </x:c>
      <x:c r="E334" t="str">
        <x:v>△ᛏ</x:v>
      </x:c>
      <x:c r="F334" t="str">
        <x:v>◎↺</x:v>
      </x:c>
      <x:c r="G334" t="n">
        <x:v>27.5</x:v>
      </x:c>
      <x:c r="H334" t="n">
        <x:v>9</x:v>
      </x:c>
      <x:c r="I334" t="n">
        <x:v>8.5</x:v>
      </x:c>
      <x:c r="J334" t="n">
        <x:v>20.5</x:v>
      </x:c>
      <x:c r="K334" t="n">
        <x:v>48.5</x:v>
      </x:c>
      <x:c r="L334" t="str">
        <x:v>REPAIR</x:v>
      </x:c>
      <x:c r="M334" t="str">
        <x:v>△ᛏ + ◎↺ + △ + ↺</x:v>
      </x:c>
      <x:c r="N334" t="str">
        <x:v>Na(Strong donor) with Ni(Catalytic guard): REPAIR in model.</x:v>
      </x:c>
    </x:row>
    <x:row r="335">
      <x:c r="A335" t="str">
        <x:v>Na</x:v>
      </x:c>
      <x:c r="B335" t="str">
        <x:v>Cu</x:v>
      </x:c>
      <x:c r="C335" t="str">
        <x:v>Strong donor</x:v>
      </x:c>
      <x:c r="D335" t="str">
        <x:v>Conductor flow</x:v>
      </x:c>
      <x:c r="E335" t="str">
        <x:v>△ᛏ</x:v>
      </x:c>
      <x:c r="F335" t="str">
        <x:v>↺ᛏ</x:v>
      </x:c>
      <x:c r="G335" t="n">
        <x:v>27.8</x:v>
      </x:c>
      <x:c r="H335" t="n">
        <x:v>11</x:v>
      </x:c>
      <x:c r="I335" t="n">
        <x:v>8</x:v>
      </x:c>
      <x:c r="J335" t="n">
        <x:v>19.5</x:v>
      </x:c>
      <x:c r="K335" t="n">
        <x:v>50.3</x:v>
      </x:c>
      <x:c r="L335" t="str">
        <x:v>REPAIR</x:v>
      </x:c>
      <x:c r="M335" t="str">
        <x:v>△ᛏ + ↺ᛏ + △ + ↺</x:v>
      </x:c>
      <x:c r="N335" t="str">
        <x:v>Na(Strong donor) with Cu(Conductor flow): REPAIR in model.</x:v>
      </x:c>
    </x:row>
    <x:row r="336">
      <x:c r="A336" t="str">
        <x:v>Na</x:v>
      </x:c>
      <x:c r="B336" t="str">
        <x:v>Zn</x:v>
      </x:c>
      <x:c r="C336" t="str">
        <x:v>Strong donor</x:v>
      </x:c>
      <x:c r="D336" t="str">
        <x:v>Enzyme stabilizer</x:v>
      </x:c>
      <x:c r="E336" t="str">
        <x:v>△ᛏ</x:v>
      </x:c>
      <x:c r="F336" t="str">
        <x:v>◎□</x:v>
      </x:c>
      <x:c r="G336" t="n">
        <x:v>22.3</x:v>
      </x:c>
      <x:c r="H336" t="n">
        <x:v>9</x:v>
      </x:c>
      <x:c r="I336" t="n">
        <x:v>7.5</x:v>
      </x:c>
      <x:c r="J336" t="n">
        <x:v>22.5</x:v>
      </x:c>
      <x:c r="K336" t="n">
        <x:v>46.3</x:v>
      </x:c>
      <x:c r="L336" t="str">
        <x:v>REPAIR</x:v>
      </x:c>
      <x:c r="M336" t="str">
        <x:v>△ᛏ + ◎□ + △ + ↺</x:v>
      </x:c>
      <x:c r="N336" t="str">
        <x:v>Na(Strong donor) with Zn(Enzyme stabilizer): REPAIR in model.</x:v>
      </x:c>
    </x:row>
    <x:row r="337">
      <x:c r="A337" t="str">
        <x:v>Na</x:v>
      </x:c>
      <x:c r="B337" t="str">
        <x:v>Ga</x:v>
      </x:c>
      <x:c r="C337" t="str">
        <x:v>Strong donor</x:v>
      </x:c>
      <x:c r="D337" t="str">
        <x:v>Soft form gate</x:v>
      </x:c>
      <x:c r="E337" t="str">
        <x:v>△ᛏ</x:v>
      </x:c>
      <x:c r="F337" t="str">
        <x:v>□↺</x:v>
      </x:c>
      <x:c r="G337" t="n">
        <x:v>20.2</x:v>
      </x:c>
      <x:c r="H337" t="n">
        <x:v>12</x:v>
      </x:c>
      <x:c r="I337" t="n">
        <x:v>8.5</x:v>
      </x:c>
      <x:c r="J337" t="n">
        <x:v>17.5</x:v>
      </x:c>
      <x:c r="K337" t="n">
        <x:v>41.2</x:v>
      </x:c>
      <x:c r="L337" t="str">
        <x:v>HOLD</x:v>
      </x:c>
      <x:c r="M337" t="str">
        <x:v>△ᛏ + □↺ + △ + HOLD</x:v>
      </x:c>
      <x:c r="N337" t="str">
        <x:v>Na(Strong donor) with Ga(Soft form gate): HOLD in model.</x:v>
      </x:c>
    </x:row>
    <x:row r="338">
      <x:c r="A338" t="str">
        <x:v>Na</x:v>
      </x:c>
      <x:c r="B338" t="str">
        <x:v>Ge</x:v>
      </x:c>
      <x:c r="C338" t="str">
        <x:v>Strong donor</x:v>
      </x:c>
      <x:c r="D338" t="str">
        <x:v>Semi lattice</x:v>
      </x:c>
      <x:c r="E338" t="str">
        <x:v>△ᛏ</x:v>
      </x:c>
      <x:c r="F338" t="str">
        <x:v>□◎</x:v>
      </x:c>
      <x:c r="G338" t="n">
        <x:v>22.3</x:v>
      </x:c>
      <x:c r="H338" t="n">
        <x:v>9</x:v>
      </x:c>
      <x:c r="I338" t="n">
        <x:v>8</x:v>
      </x:c>
      <x:c r="J338" t="n">
        <x:v>20</x:v>
      </x:c>
      <x:c r="K338" t="n">
        <x:v>43.3</x:v>
      </x:c>
      <x:c r="L338" t="str">
        <x:v>REPAIR</x:v>
      </x:c>
      <x:c r="M338" t="str">
        <x:v>△ᛏ + □◎ + △ + ↺</x:v>
      </x:c>
      <x:c r="N338" t="str">
        <x:v>Na(Strong donor) with Ge(Semi lattice): REPAIR in model.</x:v>
      </x:c>
    </x:row>
    <x:row r="339">
      <x:c r="A339" t="str">
        <x:v>Na</x:v>
      </x:c>
      <x:c r="B339" t="str">
        <x:v>As</x:v>
      </x:c>
      <x:c r="C339" t="str">
        <x:v>Strong donor</x:v>
      </x:c>
      <x:c r="D339" t="str">
        <x:v>Shadow gate</x:v>
      </x:c>
      <x:c r="E339" t="str">
        <x:v>△ᛏ</x:v>
      </x:c>
      <x:c r="F339" t="str">
        <x:v>∅◎</x:v>
      </x:c>
      <x:c r="G339" t="n">
        <x:v>27.3</x:v>
      </x:c>
      <x:c r="H339" t="n">
        <x:v>13</x:v>
      </x:c>
      <x:c r="I339" t="n">
        <x:v>13</x:v>
      </x:c>
      <x:c r="J339" t="n">
        <x:v>15</x:v>
      </x:c>
      <x:c r="K339" t="n">
        <x:v>42.3</x:v>
      </x:c>
      <x:c r="L339" t="str">
        <x:v>REPAIR</x:v>
      </x:c>
      <x:c r="M339" t="str">
        <x:v>△ᛏ + ∅◎ + △ + ↺</x:v>
      </x:c>
      <x:c r="N339" t="str">
        <x:v>Na(Strong donor) with As(Shadow gate): REPAIR in model.</x:v>
      </x:c>
    </x:row>
    <x:row r="340">
      <x:c r="A340" t="str">
        <x:v>Na</x:v>
      </x:c>
      <x:c r="B340" t="str">
        <x:v>Se</x:v>
      </x:c>
      <x:c r="C340" t="str">
        <x:v>Strong donor</x:v>
      </x:c>
      <x:c r="D340" t="str">
        <x:v>Trace healer</x:v>
      </x:c>
      <x:c r="E340" t="str">
        <x:v>△ᛏ</x:v>
      </x:c>
      <x:c r="F340" t="str">
        <x:v>↺◉</x:v>
      </x:c>
      <x:c r="G340" t="n">
        <x:v>31.5</x:v>
      </x:c>
      <x:c r="H340" t="n">
        <x:v>13</x:v>
      </x:c>
      <x:c r="I340" t="n">
        <x:v>9.5</x:v>
      </x:c>
      <x:c r="J340" t="n">
        <x:v>18.5</x:v>
      </x:c>
      <x:c r="K340" t="n">
        <x:v>53.5</x:v>
      </x:c>
      <x:c r="L340" t="str">
        <x:v>REPAIR</x:v>
      </x:c>
      <x:c r="M340" t="str">
        <x:v>△ᛏ + ↺◉ + △ + ↺</x:v>
      </x:c>
      <x:c r="N340" t="str">
        <x:v>Na(Strong donor) with Se(Trace healer): REPAIR in model.</x:v>
      </x:c>
    </x:row>
    <x:row r="341">
      <x:c r="A341" t="str">
        <x:v>Na</x:v>
      </x:c>
      <x:c r="B341" t="str">
        <x:v>Br</x:v>
      </x:c>
      <x:c r="C341" t="str">
        <x:v>Strong donor</x:v>
      </x:c>
      <x:c r="D341" t="str">
        <x:v>Heavy receiver</x:v>
      </x:c>
      <x:c r="E341" t="str">
        <x:v>△ᛏ</x:v>
      </x:c>
      <x:c r="F341" t="str">
        <x:v>▽∅</x:v>
      </x:c>
      <x:c r="G341" t="n">
        <x:v>43.8</x:v>
      </x:c>
      <x:c r="H341" t="n">
        <x:v>17</x:v>
      </x:c>
      <x:c r="I341" t="n">
        <x:v>11</x:v>
      </x:c>
      <x:c r="J341" t="n">
        <x:v>17.5</x:v>
      </x:c>
      <x:c r="K341" t="n">
        <x:v>67.3</x:v>
      </x:c>
      <x:c r="L341" t="str">
        <x:v>ASK</x:v>
      </x:c>
      <x:c r="M341" t="str">
        <x:v>△ᛏ + ▽∅ + △ + ◎?</x:v>
      </x:c>
      <x:c r="N341" t="str">
        <x:v>Na(Strong donor) with Br(Heavy receiver): ASK in model.</x:v>
      </x:c>
    </x:row>
    <x:row r="342">
      <x:c r="A342" t="str">
        <x:v>Na</x:v>
      </x:c>
      <x:c r="B342" t="str">
        <x:v>Kr</x:v>
      </x:c>
      <x:c r="C342" t="str">
        <x:v>Strong donor</x:v>
      </x:c>
      <x:c r="D342" t="str">
        <x:v>Closed Gate light</x:v>
      </x:c>
      <x:c r="E342" t="str">
        <x:v>△ᛏ</x:v>
      </x:c>
      <x:c r="F342" t="str">
        <x:v>◎✓</x:v>
      </x:c>
      <x:c r="G342" t="n">
        <x:v>2.5</x:v>
      </x:c>
      <x:c r="H342" t="n">
        <x:v>8</x:v>
      </x:c>
      <x:c r="I342" t="n">
        <x:v>6</x:v>
      </x:c>
      <x:c r="J342" t="n">
        <x:v>25.5</x:v>
      </x:c>
      <x:c r="K342" t="n">
        <x:v>30</x:v>
      </x:c>
      <x:c r="L342" t="str">
        <x:v>HOLD</x:v>
      </x:c>
      <x:c r="M342" t="str">
        <x:v>△ᛏ + ◎✓ + △ + HOLD</x:v>
      </x:c>
      <x:c r="N342" t="str">
        <x:v>Na(Strong donor) with Kr(Closed Gate light): HOLD in model.</x:v>
      </x:c>
    </x:row>
    <x:row r="343">
      <x:c r="A343" t="str">
        <x:v>Mg</x:v>
      </x:c>
      <x:c r="B343" t="str">
        <x:v>Mg</x:v>
      </x:c>
      <x:c r="C343" t="str">
        <x:v>Structure donor</x:v>
      </x:c>
      <x:c r="D343" t="str">
        <x:v>Structure donor</x:v>
      </x:c>
      <x:c r="E343" t="str">
        <x:v>□△</x:v>
      </x:c>
      <x:c r="F343" t="str">
        <x:v>□△</x:v>
      </x:c>
      <x:c r="G343" t="n">
        <x:v>13</x:v>
      </x:c>
      <x:c r="H343" t="n">
        <x:v>20</x:v>
      </x:c>
      <x:c r="I343" t="n">
        <x:v>7</x:v>
      </x:c>
      <x:c r="J343" t="n">
        <x:v>21</x:v>
      </x:c>
      <x:c r="K343" t="n">
        <x:v>47</x:v>
      </x:c>
      <x:c r="L343" t="str">
        <x:v>REPAIR</x:v>
      </x:c>
      <x:c r="M343" t="str">
        <x:v>□△ + □△ + △ + ↺</x:v>
      </x:c>
      <x:c r="N343" t="str">
        <x:v>Mg(Structure donor) with Mg(Structure donor): REPAIR in model.</x:v>
      </x:c>
    </x:row>
    <x:row r="344">
      <x:c r="A344" t="str">
        <x:v>Mg</x:v>
      </x:c>
      <x:c r="B344" t="str">
        <x:v>Al</x:v>
      </x:c>
      <x:c r="C344" t="str">
        <x:v>Structure donor</x:v>
      </x:c>
      <x:c r="D344" t="str">
        <x:v>Form builder</x:v>
      </x:c>
      <x:c r="E344" t="str">
        <x:v>□△</x:v>
      </x:c>
      <x:c r="F344" t="str">
        <x:v>□◎</x:v>
      </x:c>
      <x:c r="G344" t="n">
        <x:v>16.9</x:v>
      </x:c>
      <x:c r="H344" t="n">
        <x:v>18</x:v>
      </x:c>
      <x:c r="I344" t="n">
        <x:v>6</x:v>
      </x:c>
      <x:c r="J344" t="n">
        <x:v>23</x:v>
      </x:c>
      <x:c r="K344" t="n">
        <x:v>51.9</x:v>
      </x:c>
      <x:c r="L344" t="str">
        <x:v>REPAIR</x:v>
      </x:c>
      <x:c r="M344" t="str">
        <x:v>□△ + □◎ + △ + ↺</x:v>
      </x:c>
      <x:c r="N344" t="str">
        <x:v>Mg(Structure donor) with Al(Form builder): REPAIR in model.</x:v>
      </x:c>
    </x:row>
    <x:row r="345">
      <x:c r="A345" t="str">
        <x:v>Mg</x:v>
      </x:c>
      <x:c r="B345" t="str">
        <x:v>Si</x:v>
      </x:c>
      <x:c r="C345" t="str">
        <x:v>Structure donor</x:v>
      </x:c>
      <x:c r="D345" t="str">
        <x:v>Lattice engineer</x:v>
      </x:c>
      <x:c r="E345" t="str">
        <x:v>□△</x:v>
      </x:c>
      <x:c r="F345" t="str">
        <x:v>□◉</x:v>
      </x:c>
      <x:c r="G345" t="n">
        <x:v>18.6</x:v>
      </x:c>
      <x:c r="H345" t="n">
        <x:v>15</x:v>
      </x:c>
      <x:c r="I345" t="n">
        <x:v>5.5</x:v>
      </x:c>
      <x:c r="J345" t="n">
        <x:v>25.5</x:v>
      </x:c>
      <x:c r="K345" t="n">
        <x:v>53.6</x:v>
      </x:c>
      <x:c r="L345" t="str">
        <x:v>REPAIR</x:v>
      </x:c>
      <x:c r="M345" t="str">
        <x:v>□△ + □◉ + △ + ↺</x:v>
      </x:c>
      <x:c r="N345" t="str">
        <x:v>Mg(Structure donor) with Si(Lattice engineer): REPAIR in model.</x:v>
      </x:c>
    </x:row>
    <x:row r="346">
      <x:c r="A346" t="str">
        <x:v>Mg</x:v>
      </x:c>
      <x:c r="B346" t="str">
        <x:v>P</x:v>
      </x:c>
      <x:c r="C346" t="str">
        <x:v>Structure donor</x:v>
      </x:c>
      <x:c r="D346" t="str">
        <x:v>Energy memory</x:v>
      </x:c>
      <x:c r="E346" t="str">
        <x:v>□△</x:v>
      </x:c>
      <x:c r="F346" t="str">
        <x:v>◉△</x:v>
      </x:c>
      <x:c r="G346" t="n">
        <x:v>27.6</x:v>
      </x:c>
      <x:c r="H346" t="n">
        <x:v>18</x:v>
      </x:c>
      <x:c r="I346" t="n">
        <x:v>7.5</x:v>
      </x:c>
      <x:c r="J346" t="n">
        <x:v>23</x:v>
      </x:c>
      <x:c r="K346" t="n">
        <x:v>61.1</x:v>
      </x:c>
      <x:c r="L346" t="str">
        <x:v>ASK</x:v>
      </x:c>
      <x:c r="M346" t="str">
        <x:v>□△ + ◉△ + △ + ◎?</x:v>
      </x:c>
      <x:c r="N346" t="str">
        <x:v>Mg(Structure donor) with P(Energy memory): ASK in model.</x:v>
      </x:c>
    </x:row>
    <x:row r="347">
      <x:c r="A347" t="str">
        <x:v>Mg</x:v>
      </x:c>
      <x:c r="B347" t="str">
        <x:v>S</x:v>
      </x:c>
      <x:c r="C347" t="str">
        <x:v>Structure donor</x:v>
      </x:c>
      <x:c r="D347" t="str">
        <x:v>Connector phase</x:v>
      </x:c>
      <x:c r="E347" t="str">
        <x:v>□△</x:v>
      </x:c>
      <x:c r="F347" t="str">
        <x:v>↺▽</x:v>
      </x:c>
      <x:c r="G347" t="n">
        <x:v>28.2</x:v>
      </x:c>
      <x:c r="H347" t="n">
        <x:v>19</x:v>
      </x:c>
      <x:c r="I347" t="n">
        <x:v>7</x:v>
      </x:c>
      <x:c r="J347" t="n">
        <x:v>22.5</x:v>
      </x:c>
      <x:c r="K347" t="n">
        <x:v>62.7</x:v>
      </x:c>
      <x:c r="L347" t="str">
        <x:v>ASK</x:v>
      </x:c>
      <x:c r="M347" t="str">
        <x:v>□△ + ↺▽ + △ + ◎?</x:v>
      </x:c>
      <x:c r="N347" t="str">
        <x:v>Mg(Structure donor) with S(Connector phase): ASK in model.</x:v>
      </x:c>
    </x:row>
    <x:row r="348">
      <x:c r="A348" t="str">
        <x:v>Mg</x:v>
      </x:c>
      <x:c r="B348" t="str">
        <x:v>Cl</x:v>
      </x:c>
      <x:c r="C348" t="str">
        <x:v>Structure donor</x:v>
      </x:c>
      <x:c r="D348" t="str">
        <x:v>Receiver closure</x:v>
      </x:c>
      <x:c r="E348" t="str">
        <x:v>□△</x:v>
      </x:c>
      <x:c r="F348" t="str">
        <x:v>▽◎</x:v>
      </x:c>
      <x:c r="G348" t="n">
        <x:v>37.9</x:v>
      </x:c>
      <x:c r="H348" t="n">
        <x:v>14</x:v>
      </x:c>
      <x:c r="I348" t="n">
        <x:v>8</x:v>
      </x:c>
      <x:c r="J348" t="n">
        <x:v>23.5</x:v>
      </x:c>
      <x:c r="K348" t="n">
        <x:v>67.4</x:v>
      </x:c>
      <x:c r="L348" t="str">
        <x:v>ASK</x:v>
      </x:c>
      <x:c r="M348" t="str">
        <x:v>□△ + ▽◎ + △ + ◎?</x:v>
      </x:c>
      <x:c r="N348" t="str">
        <x:v>Mg(Structure donor) with Cl(Receiver closure): ASK in model.</x:v>
      </x:c>
    </x:row>
    <x:row r="349">
      <x:c r="A349" t="str">
        <x:v>Mg</x:v>
      </x:c>
      <x:c r="B349" t="str">
        <x:v>Ar</x:v>
      </x:c>
      <x:c r="C349" t="str">
        <x:v>Structure donor</x:v>
      </x:c>
      <x:c r="D349" t="str">
        <x:v>Closed Gate</x:v>
      </x:c>
      <x:c r="E349" t="str">
        <x:v>□△</x:v>
      </x:c>
      <x:c r="F349" t="str">
        <x:v>◎✓</x:v>
      </x:c>
      <x:c r="G349" t="n">
        <x:v>2.1</x:v>
      </x:c>
      <x:c r="H349" t="n">
        <x:v>16</x:v>
      </x:c>
      <x:c r="I349" t="n">
        <x:v>4</x:v>
      </x:c>
      <x:c r="J349" t="n">
        <x:v>30</x:v>
      </x:c>
      <x:c r="K349" t="n">
        <x:v>44.1</x:v>
      </x:c>
      <x:c r="L349" t="str">
        <x:v>REPAIR</x:v>
      </x:c>
      <x:c r="M349" t="str">
        <x:v>□△ + ◎✓ + △ + ↺</x:v>
      </x:c>
      <x:c r="N349" t="str">
        <x:v>Mg(Structure donor) with Ar(Closed Gate): REPAIR in model.</x:v>
      </x:c>
    </x:row>
    <x:row r="350">
      <x:c r="A350" t="str">
        <x:v>Mg</x:v>
      </x:c>
      <x:c r="B350" t="str">
        <x:v>K</x:v>
      </x:c>
      <x:c r="C350" t="str">
        <x:v>Structure donor</x:v>
      </x:c>
      <x:c r="D350" t="str">
        <x:v>Heavy opener</x:v>
      </x:c>
      <x:c r="E350" t="str">
        <x:v>□△</x:v>
      </x:c>
      <x:c r="F350" t="str">
        <x:v>△ᛏ</x:v>
      </x:c>
      <x:c r="G350" t="n">
        <x:v>12.8</x:v>
      </x:c>
      <x:c r="H350" t="n">
        <x:v>12</x:v>
      </x:c>
      <x:c r="I350" t="n">
        <x:v>10</x:v>
      </x:c>
      <x:c r="J350" t="n">
        <x:v>15.5</x:v>
      </x:c>
      <x:c r="K350" t="n">
        <x:v>30.3</x:v>
      </x:c>
      <x:c r="L350" t="str">
        <x:v>HOLD</x:v>
      </x:c>
      <x:c r="M350" t="str">
        <x:v>□△ + △ᛏ + △ + HOLD</x:v>
      </x:c>
      <x:c r="N350" t="str">
        <x:v>Mg(Structure donor) with K(Heavy opener): HOLD in model.</x:v>
      </x:c>
    </x:row>
    <x:row r="351">
      <x:c r="A351" t="str">
        <x:v>Mg</x:v>
      </x:c>
      <x:c r="B351" t="str">
        <x:v>Ca</x:v>
      </x:c>
      <x:c r="C351" t="str">
        <x:v>Structure donor</x:v>
      </x:c>
      <x:c r="D351" t="str">
        <x:v>Tank structure</x:v>
      </x:c>
      <x:c r="E351" t="str">
        <x:v>□△</x:v>
      </x:c>
      <x:c r="F351" t="str">
        <x:v>ᛉ□</x:v>
      </x:c>
      <x:c r="G351" t="n">
        <x:v>14.1</x:v>
      </x:c>
      <x:c r="H351" t="n">
        <x:v>18</x:v>
      </x:c>
      <x:c r="I351" t="n">
        <x:v>6.5</x:v>
      </x:c>
      <x:c r="J351" t="n">
        <x:v>23</x:v>
      </x:c>
      <x:c r="K351" t="n">
        <x:v>48.6</x:v>
      </x:c>
      <x:c r="L351" t="str">
        <x:v>REPAIR</x:v>
      </x:c>
      <x:c r="M351" t="str">
        <x:v>□△ + ᛉ□ + △ + ↺</x:v>
      </x:c>
      <x:c r="N351" t="str">
        <x:v>Mg(Structure donor) with Ca(Tank structure): REPAIR in model.</x:v>
      </x:c>
    </x:row>
    <x:row r="352">
      <x:c r="A352" t="str">
        <x:v>Mg</x:v>
      </x:c>
      <x:c r="B352" t="str">
        <x:v>Sc</x:v>
      </x:c>
      <x:c r="C352" t="str">
        <x:v>Structure donor</x:v>
      </x:c>
      <x:c r="D352" t="str">
        <x:v>Transition bridge</x:v>
      </x:c>
      <x:c r="E352" t="str">
        <x:v>□△</x:v>
      </x:c>
      <x:c r="F352" t="str">
        <x:v>↺□</x:v>
      </x:c>
      <x:c r="G352" t="n">
        <x:v>16.9</x:v>
      </x:c>
      <x:c r="H352" t="n">
        <x:v>19</x:v>
      </x:c>
      <x:c r="I352" t="n">
        <x:v>6.5</x:v>
      </x:c>
      <x:c r="J352" t="n">
        <x:v>22.5</x:v>
      </x:c>
      <x:c r="K352" t="n">
        <x:v>51.9</x:v>
      </x:c>
      <x:c r="L352" t="str">
        <x:v>REPAIR</x:v>
      </x:c>
      <x:c r="M352" t="str">
        <x:v>□△ + ↺□ + △ + ↺</x:v>
      </x:c>
      <x:c r="N352" t="str">
        <x:v>Mg(Structure donor) with Sc(Transition bridge): REPAIR in model.</x:v>
      </x:c>
    </x:row>
    <x:row r="353">
      <x:c r="A353" t="str">
        <x:v>Mg</x:v>
      </x:c>
      <x:c r="B353" t="str">
        <x:v>Ti</x:v>
      </x:c>
      <x:c r="C353" t="str">
        <x:v>Structure donor</x:v>
      </x:c>
      <x:c r="D353" t="str">
        <x:v>Strong structure</x:v>
      </x:c>
      <x:c r="E353" t="str">
        <x:v>□△</x:v>
      </x:c>
      <x:c r="F353" t="str">
        <x:v>ᛉ□</x:v>
      </x:c>
      <x:c r="G353" t="n">
        <x:v>16.9</x:v>
      </x:c>
      <x:c r="H353" t="n">
        <x:v>16</x:v>
      </x:c>
      <x:c r="I353" t="n">
        <x:v>5.5</x:v>
      </x:c>
      <x:c r="J353" t="n">
        <x:v>25.5</x:v>
      </x:c>
      <x:c r="K353" t="n">
        <x:v>52.9</x:v>
      </x:c>
      <x:c r="L353" t="str">
        <x:v>REPAIR</x:v>
      </x:c>
      <x:c r="M353" t="str">
        <x:v>□△ + ᛉ□ + △ + ↺</x:v>
      </x:c>
      <x:c r="N353" t="str">
        <x:v>Mg(Structure donor) with Ti(Strong structure): REPAIR in model.</x:v>
      </x:c>
    </x:row>
    <x:row r="354">
      <x:c r="A354" t="str">
        <x:v>Mg</x:v>
      </x:c>
      <x:c r="B354" t="str">
        <x:v>V</x:v>
      </x:c>
      <x:c r="C354" t="str">
        <x:v>Structure donor</x:v>
      </x:c>
      <x:c r="D354" t="str">
        <x:v>Multi-state gate</x:v>
      </x:c>
      <x:c r="E354" t="str">
        <x:v>□△</x:v>
      </x:c>
      <x:c r="F354" t="str">
        <x:v>◎↺</x:v>
      </x:c>
      <x:c r="G354" t="n">
        <x:v>21.1</x:v>
      </x:c>
      <x:c r="H354" t="n">
        <x:v>19</x:v>
      </x:c>
      <x:c r="I354" t="n">
        <x:v>8</x:v>
      </x:c>
      <x:c r="J354" t="n">
        <x:v>23</x:v>
      </x:c>
      <x:c r="K354" t="n">
        <x:v>55.1</x:v>
      </x:c>
      <x:c r="L354" t="str">
        <x:v>REPAIR</x:v>
      </x:c>
      <x:c r="M354" t="str">
        <x:v>□△ + ◎↺ + △ + ↺</x:v>
      </x:c>
      <x:c r="N354" t="str">
        <x:v>Mg(Structure donor) with V(Multi-state gate): REPAIR in model.</x:v>
      </x:c>
    </x:row>
    <x:row r="355">
      <x:c r="A355" t="str">
        <x:v>Mg</x:v>
      </x:c>
      <x:c r="B355" t="str">
        <x:v>Cr</x:v>
      </x:c>
      <x:c r="C355" t="str">
        <x:v>Structure donor</x:v>
      </x:c>
      <x:c r="D355" t="str">
        <x:v>Surface guardian</x:v>
      </x:c>
      <x:c r="E355" t="str">
        <x:v>□△</x:v>
      </x:c>
      <x:c r="F355" t="str">
        <x:v>ᛉ◎</x:v>
      </x:c>
      <x:c r="G355" t="n">
        <x:v>20.6</x:v>
      </x:c>
      <x:c r="H355" t="n">
        <x:v>17</x:v>
      </x:c>
      <x:c r="I355" t="n">
        <x:v>7</x:v>
      </x:c>
      <x:c r="J355" t="n">
        <x:v>25.5</x:v>
      </x:c>
      <x:c r="K355" t="n">
        <x:v>56.1</x:v>
      </x:c>
      <x:c r="L355" t="str">
        <x:v>REPAIR</x:v>
      </x:c>
      <x:c r="M355" t="str">
        <x:v>□△ + ᛉ◎ + △ + ↺</x:v>
      </x:c>
      <x:c r="N355" t="str">
        <x:v>Mg(Structure donor) with Cr(Surface guardian): REPAIR in model.</x:v>
      </x:c>
    </x:row>
    <x:row r="356">
      <x:c r="A356" t="str">
        <x:v>Mg</x:v>
      </x:c>
      <x:c r="B356" t="str">
        <x:v>Mn</x:v>
      </x:c>
      <x:c r="C356" t="str">
        <x:v>Structure donor</x:v>
      </x:c>
      <x:c r="D356" t="str">
        <x:v>Redox archer</x:v>
      </x:c>
      <x:c r="E356" t="str">
        <x:v>□△</x:v>
      </x:c>
      <x:c r="F356" t="str">
        <x:v>ᛏ↺</x:v>
      </x:c>
      <x:c r="G356" t="n">
        <x:v>25.4</x:v>
      </x:c>
      <x:c r="H356" t="n">
        <x:v>19</x:v>
      </x:c>
      <x:c r="I356" t="n">
        <x:v>9</x:v>
      </x:c>
      <x:c r="J356" t="n">
        <x:v>21.5</x:v>
      </x:c>
      <x:c r="K356" t="n">
        <x:v>56.9</x:v>
      </x:c>
      <x:c r="L356" t="str">
        <x:v>REPAIR</x:v>
      </x:c>
      <x:c r="M356" t="str">
        <x:v>□△ + ᛏ↺ + △ + ↺</x:v>
      </x:c>
      <x:c r="N356" t="str">
        <x:v>Mg(Structure donor) with Mn(Redox archer): REPAIR in model.</x:v>
      </x:c>
    </x:row>
    <x:row r="357">
      <x:c r="A357" t="str">
        <x:v>Mg</x:v>
      </x:c>
      <x:c r="B357" t="str">
        <x:v>Fe</x:v>
      </x:c>
      <x:c r="C357" t="str">
        <x:v>Structure donor</x:v>
      </x:c>
      <x:c r="D357" t="str">
        <x:v>Tank memory</x:v>
      </x:c>
      <x:c r="E357" t="str">
        <x:v>□△</x:v>
      </x:c>
      <x:c r="F357" t="str">
        <x:v>ᛉ◉</x:v>
      </x:c>
      <x:c r="G357" t="n">
        <x:v>24.4</x:v>
      </x:c>
      <x:c r="H357" t="n">
        <x:v>16</x:v>
      </x:c>
      <x:c r="I357" t="n">
        <x:v>7</x:v>
      </x:c>
      <x:c r="J357" t="n">
        <x:v>24.5</x:v>
      </x:c>
      <x:c r="K357" t="n">
        <x:v>57.9</x:v>
      </x:c>
      <x:c r="L357" t="str">
        <x:v>REPAIR</x:v>
      </x:c>
      <x:c r="M357" t="str">
        <x:v>□△ + ᛉ◉ + △ + ↺</x:v>
      </x:c>
      <x:c r="N357" t="str">
        <x:v>Mg(Structure donor) with Fe(Tank memory): REPAIR in model.</x:v>
      </x:c>
    </x:row>
    <x:row r="358">
      <x:c r="A358" t="str">
        <x:v>Mg</x:v>
      </x:c>
      <x:c r="B358" t="str">
        <x:v>Co</x:v>
      </x:c>
      <x:c r="C358" t="str">
        <x:v>Structure donor</x:v>
      </x:c>
      <x:c r="D358" t="str">
        <x:v>Magnetic bridge</x:v>
      </x:c>
      <x:c r="E358" t="str">
        <x:v>□△</x:v>
      </x:c>
      <x:c r="F358" t="str">
        <x:v>◉ᛉ</x:v>
      </x:c>
      <x:c r="G358" t="n">
        <x:v>22.2</x:v>
      </x:c>
      <x:c r="H358" t="n">
        <x:v>17</x:v>
      </x:c>
      <x:c r="I358" t="n">
        <x:v>7</x:v>
      </x:c>
      <x:c r="J358" t="n">
        <x:v>24</x:v>
      </x:c>
      <x:c r="K358" t="n">
        <x:v>56.2</x:v>
      </x:c>
      <x:c r="L358" t="str">
        <x:v>REPAIR</x:v>
      </x:c>
      <x:c r="M358" t="str">
        <x:v>□△ + ◉ᛉ + △ + ↺</x:v>
      </x:c>
      <x:c r="N358" t="str">
        <x:v>Mg(Structure donor) with Co(Magnetic bridge): REPAIR in model.</x:v>
      </x:c>
    </x:row>
    <x:row r="359">
      <x:c r="A359" t="str">
        <x:v>Mg</x:v>
      </x:c>
      <x:c r="B359" t="str">
        <x:v>Ni</x:v>
      </x:c>
      <x:c r="C359" t="str">
        <x:v>Structure donor</x:v>
      </x:c>
      <x:c r="D359" t="str">
        <x:v>Catalytic guard</x:v>
      </x:c>
      <x:c r="E359" t="str">
        <x:v>□△</x:v>
      </x:c>
      <x:c r="F359" t="str">
        <x:v>◎↺</x:v>
      </x:c>
      <x:c r="G359" t="n">
        <x:v>23.4</x:v>
      </x:c>
      <x:c r="H359" t="n">
        <x:v>17</x:v>
      </x:c>
      <x:c r="I359" t="n">
        <x:v>6.5</x:v>
      </x:c>
      <x:c r="J359" t="n">
        <x:v>25</x:v>
      </x:c>
      <x:c r="K359" t="n">
        <x:v>58.9</x:v>
      </x:c>
      <x:c r="L359" t="str">
        <x:v>ASK</x:v>
      </x:c>
      <x:c r="M359" t="str">
        <x:v>□△ + ◎↺ + △ + ◎?</x:v>
      </x:c>
      <x:c r="N359" t="str">
        <x:v>Mg(Structure donor) with Ni(Catalytic guard): ASK in model.</x:v>
      </x:c>
    </x:row>
    <x:row r="360">
      <x:c r="A360" t="str">
        <x:v>Mg</x:v>
      </x:c>
      <x:c r="B360" t="str">
        <x:v>Cu</x:v>
      </x:c>
      <x:c r="C360" t="str">
        <x:v>Structure donor</x:v>
      </x:c>
      <x:c r="D360" t="str">
        <x:v>Conductor flow</x:v>
      </x:c>
      <x:c r="E360" t="str">
        <x:v>□△</x:v>
      </x:c>
      <x:c r="F360" t="str">
        <x:v>↺ᛏ</x:v>
      </x:c>
      <x:c r="G360" t="n">
        <x:v>23.9</x:v>
      </x:c>
      <x:c r="H360" t="n">
        <x:v>19</x:v>
      </x:c>
      <x:c r="I360" t="n">
        <x:v>6</x:v>
      </x:c>
      <x:c r="J360" t="n">
        <x:v>24</x:v>
      </x:c>
      <x:c r="K360" t="n">
        <x:v>60.9</x:v>
      </x:c>
      <x:c r="L360" t="str">
        <x:v>ASK</x:v>
      </x:c>
      <x:c r="M360" t="str">
        <x:v>□△ + ↺ᛏ + △ + ◎?</x:v>
      </x:c>
      <x:c r="N360" t="str">
        <x:v>Mg(Structure donor) with Cu(Conductor flow): ASK in model.</x:v>
      </x:c>
    </x:row>
    <x:row r="361">
      <x:c r="A361" t="str">
        <x:v>Mg</x:v>
      </x:c>
      <x:c r="B361" t="str">
        <x:v>Zn</x:v>
      </x:c>
      <x:c r="C361" t="str">
        <x:v>Structure donor</x:v>
      </x:c>
      <x:c r="D361" t="str">
        <x:v>Enzyme stabilizer</x:v>
      </x:c>
      <x:c r="E361" t="str">
        <x:v>□△</x:v>
      </x:c>
      <x:c r="F361" t="str">
        <x:v>◎□</x:v>
      </x:c>
      <x:c r="G361" t="n">
        <x:v>18.6</x:v>
      </x:c>
      <x:c r="H361" t="n">
        <x:v>17</x:v>
      </x:c>
      <x:c r="I361" t="n">
        <x:v>5.5</x:v>
      </x:c>
      <x:c r="J361" t="n">
        <x:v>27</x:v>
      </x:c>
      <x:c r="K361" t="n">
        <x:v>57.1</x:v>
      </x:c>
      <x:c r="L361" t="str">
        <x:v>REPAIR</x:v>
      </x:c>
      <x:c r="M361" t="str">
        <x:v>□△ + ◎□ + △ + ↺</x:v>
      </x:c>
      <x:c r="N361" t="str">
        <x:v>Mg(Structure donor) with Zn(Enzyme stabilizer): REPAIR in model.</x:v>
      </x:c>
    </x:row>
    <x:row r="362">
      <x:c r="A362" t="str">
        <x:v>Mg</x:v>
      </x:c>
      <x:c r="B362" t="str">
        <x:v>Ga</x:v>
      </x:c>
      <x:c r="C362" t="str">
        <x:v>Structure donor</x:v>
      </x:c>
      <x:c r="D362" t="str">
        <x:v>Soft form gate</x:v>
      </x:c>
      <x:c r="E362" t="str">
        <x:v>□△</x:v>
      </x:c>
      <x:c r="F362" t="str">
        <x:v>□↺</x:v>
      </x:c>
      <x:c r="G362" t="n">
        <x:v>17.5</x:v>
      </x:c>
      <x:c r="H362" t="n">
        <x:v>20</x:v>
      </x:c>
      <x:c r="I362" t="n">
        <x:v>6.5</x:v>
      </x:c>
      <x:c r="J362" t="n">
        <x:v>22</x:v>
      </x:c>
      <x:c r="K362" t="n">
        <x:v>53</x:v>
      </x:c>
      <x:c r="L362" t="str">
        <x:v>REPAIR</x:v>
      </x:c>
      <x:c r="M362" t="str">
        <x:v>□△ + □↺ + △ + ↺</x:v>
      </x:c>
      <x:c r="N362" t="str">
        <x:v>Mg(Structure donor) with Ga(Soft form gate): REPAIR in model.</x:v>
      </x:c>
    </x:row>
    <x:row r="363">
      <x:c r="A363" t="str">
        <x:v>Mg</x:v>
      </x:c>
      <x:c r="B363" t="str">
        <x:v>Ge</x:v>
      </x:c>
      <x:c r="C363" t="str">
        <x:v>Structure donor</x:v>
      </x:c>
      <x:c r="D363" t="str">
        <x:v>Semi lattice</x:v>
      </x:c>
      <x:c r="E363" t="str">
        <x:v>□△</x:v>
      </x:c>
      <x:c r="F363" t="str">
        <x:v>□◎</x:v>
      </x:c>
      <x:c r="G363" t="n">
        <x:v>18.6</x:v>
      </x:c>
      <x:c r="H363" t="n">
        <x:v>17</x:v>
      </x:c>
      <x:c r="I363" t="n">
        <x:v>6</x:v>
      </x:c>
      <x:c r="J363" t="n">
        <x:v>24.5</x:v>
      </x:c>
      <x:c r="K363" t="n">
        <x:v>54.1</x:v>
      </x:c>
      <x:c r="L363" t="str">
        <x:v>REPAIR</x:v>
      </x:c>
      <x:c r="M363" t="str">
        <x:v>□△ + □◎ + △ + ↺</x:v>
      </x:c>
      <x:c r="N363" t="str">
        <x:v>Mg(Structure donor) with Ge(Semi lattice): REPAIR in model.</x:v>
      </x:c>
    </x:row>
    <x:row r="364">
      <x:c r="A364" t="str">
        <x:v>Mg</x:v>
      </x:c>
      <x:c r="B364" t="str">
        <x:v>As</x:v>
      </x:c>
      <x:c r="C364" t="str">
        <x:v>Structure donor</x:v>
      </x:c>
      <x:c r="D364" t="str">
        <x:v>Shadow gate</x:v>
      </x:c>
      <x:c r="E364" t="str">
        <x:v>□△</x:v>
      </x:c>
      <x:c r="F364" t="str">
        <x:v>∅◎</x:v>
      </x:c>
      <x:c r="G364" t="n">
        <x:v>22.9</x:v>
      </x:c>
      <x:c r="H364" t="n">
        <x:v>19</x:v>
      </x:c>
      <x:c r="I364" t="n">
        <x:v>11</x:v>
      </x:c>
      <x:c r="J364" t="n">
        <x:v>19.5</x:v>
      </x:c>
      <x:c r="K364" t="n">
        <x:v>50.4</x:v>
      </x:c>
      <x:c r="L364" t="str">
        <x:v>REPAIR</x:v>
      </x:c>
      <x:c r="M364" t="str">
        <x:v>□△ + ∅◎ + △ + ↺</x:v>
      </x:c>
      <x:c r="N364" t="str">
        <x:v>Mg(Structure donor) with As(Shadow gate): REPAIR in model.</x:v>
      </x:c>
    </x:row>
    <x:row r="365">
      <x:c r="A365" t="str">
        <x:v>Mg</x:v>
      </x:c>
      <x:c r="B365" t="str">
        <x:v>Se</x:v>
      </x:c>
      <x:c r="C365" t="str">
        <x:v>Structure donor</x:v>
      </x:c>
      <x:c r="D365" t="str">
        <x:v>Trace healer</x:v>
      </x:c>
      <x:c r="E365" t="str">
        <x:v>□△</x:v>
      </x:c>
      <x:c r="F365" t="str">
        <x:v>↺◉</x:v>
      </x:c>
      <x:c r="G365" t="n">
        <x:v>25.6</x:v>
      </x:c>
      <x:c r="H365" t="n">
        <x:v>19</x:v>
      </x:c>
      <x:c r="I365" t="n">
        <x:v>7.5</x:v>
      </x:c>
      <x:c r="J365" t="n">
        <x:v>23</x:v>
      </x:c>
      <x:c r="K365" t="n">
        <x:v>60.1</x:v>
      </x:c>
      <x:c r="L365" t="str">
        <x:v>ASK</x:v>
      </x:c>
      <x:c r="M365" t="str">
        <x:v>□△ + ↺◉ + △ + ◎?</x:v>
      </x:c>
      <x:c r="N365" t="str">
        <x:v>Mg(Structure donor) with Se(Trace healer): ASK in model.</x:v>
      </x:c>
    </x:row>
    <x:row r="366">
      <x:c r="A366" t="str">
        <x:v>Mg</x:v>
      </x:c>
      <x:c r="B366" t="str">
        <x:v>Br</x:v>
      </x:c>
      <x:c r="C366" t="str">
        <x:v>Structure donor</x:v>
      </x:c>
      <x:c r="D366" t="str">
        <x:v>Heavy receiver</x:v>
      </x:c>
      <x:c r="E366" t="str">
        <x:v>□△</x:v>
      </x:c>
      <x:c r="F366" t="str">
        <x:v>▽∅</x:v>
      </x:c>
      <x:c r="G366" t="n">
        <x:v>35.8</x:v>
      </x:c>
      <x:c r="H366" t="n">
        <x:v>15</x:v>
      </x:c>
      <x:c r="I366" t="n">
        <x:v>9</x:v>
      </x:c>
      <x:c r="J366" t="n">
        <x:v>22</x:v>
      </x:c>
      <x:c r="K366" t="n">
        <x:v>63.8</x:v>
      </x:c>
      <x:c r="L366" t="str">
        <x:v>ASK</x:v>
      </x:c>
      <x:c r="M366" t="str">
        <x:v>□△ + ▽∅ + △ + ◎?</x:v>
      </x:c>
      <x:c r="N366" t="str">
        <x:v>Mg(Structure donor) with Br(Heavy receiver): ASK in model.</x:v>
      </x:c>
    </x:row>
    <x:row r="367">
      <x:c r="A367" t="str">
        <x:v>Mg</x:v>
      </x:c>
      <x:c r="B367" t="str">
        <x:v>Kr</x:v>
      </x:c>
      <x:c r="C367" t="str">
        <x:v>Structure donor</x:v>
      </x:c>
      <x:c r="D367" t="str">
        <x:v>Closed Gate light</x:v>
      </x:c>
      <x:c r="E367" t="str">
        <x:v>□△</x:v>
      </x:c>
      <x:c r="F367" t="str">
        <x:v>◎✓</x:v>
      </x:c>
      <x:c r="G367" t="n">
        <x:v>2.1</x:v>
      </x:c>
      <x:c r="H367" t="n">
        <x:v>16</x:v>
      </x:c>
      <x:c r="I367" t="n">
        <x:v>4</x:v>
      </x:c>
      <x:c r="J367" t="n">
        <x:v>30</x:v>
      </x:c>
      <x:c r="K367" t="n">
        <x:v>44.1</x:v>
      </x:c>
      <x:c r="L367" t="str">
        <x:v>REPAIR</x:v>
      </x:c>
      <x:c r="M367" t="str">
        <x:v>□△ + ◎✓ + △ + ↺</x:v>
      </x:c>
      <x:c r="N367" t="str">
        <x:v>Mg(Structure donor) with Kr(Closed Gate light): REPAIR in model.</x:v>
      </x:c>
    </x:row>
    <x:row r="368">
      <x:c r="A368" t="str">
        <x:v>Al</x:v>
      </x:c>
      <x:c r="B368" t="str">
        <x:v>Al</x:v>
      </x:c>
      <x:c r="C368" t="str">
        <x:v>Form builder</x:v>
      </x:c>
      <x:c r="D368" t="str">
        <x:v>Form builder</x:v>
      </x:c>
      <x:c r="E368" t="str">
        <x:v>□◎</x:v>
      </x:c>
      <x:c r="F368" t="str">
        <x:v>□◎</x:v>
      </x:c>
      <x:c r="G368" t="n">
        <x:v>19.2</x:v>
      </x:c>
      <x:c r="H368" t="n">
        <x:v>20</x:v>
      </x:c>
      <x:c r="I368" t="n">
        <x:v>5</x:v>
      </x:c>
      <x:c r="J368" t="n">
        <x:v>25</x:v>
      </x:c>
      <x:c r="K368" t="n">
        <x:v>59.2</x:v>
      </x:c>
      <x:c r="L368" t="str">
        <x:v>ASK</x:v>
      </x:c>
      <x:c r="M368" t="str">
        <x:v>□◎ + □◎ + △ + ◎?</x:v>
      </x:c>
      <x:c r="N368" t="str">
        <x:v>Al(Form builder) with Al(Form builder): ASK in model.</x:v>
      </x:c>
    </x:row>
    <x:row r="369">
      <x:c r="A369" t="str">
        <x:v>Al</x:v>
      </x:c>
      <x:c r="B369" t="str">
        <x:v>Si</x:v>
      </x:c>
      <x:c r="C369" t="str">
        <x:v>Form builder</x:v>
      </x:c>
      <x:c r="D369" t="str">
        <x:v>Lattice engineer</x:v>
      </x:c>
      <x:c r="E369" t="str">
        <x:v>□◎</x:v>
      </x:c>
      <x:c r="F369" t="str">
        <x:v>□◉</x:v>
      </x:c>
      <x:c r="G369" t="n">
        <x:v>19.4</x:v>
      </x:c>
      <x:c r="H369" t="n">
        <x:v>17</x:v>
      </x:c>
      <x:c r="I369" t="n">
        <x:v>4.5</x:v>
      </x:c>
      <x:c r="J369" t="n">
        <x:v>27.5</x:v>
      </x:c>
      <x:c r="K369" t="n">
        <x:v>59.4</x:v>
      </x:c>
      <x:c r="L369" t="str">
        <x:v>ASK</x:v>
      </x:c>
      <x:c r="M369" t="str">
        <x:v>□◎ + □◉ + △ + ◎?</x:v>
      </x:c>
      <x:c r="N369" t="str">
        <x:v>Al(Form builder) with Si(Lattice engineer): ASK in model.</x:v>
      </x:c>
    </x:row>
    <x:row r="370">
      <x:c r="A370" t="str">
        <x:v>Al</x:v>
      </x:c>
      <x:c r="B370" t="str">
        <x:v>P</x:v>
      </x:c>
      <x:c r="C370" t="str">
        <x:v>Form builder</x:v>
      </x:c>
      <x:c r="D370" t="str">
        <x:v>Energy memory</x:v>
      </x:c>
      <x:c r="E370" t="str">
        <x:v>□◎</x:v>
      </x:c>
      <x:c r="F370" t="str">
        <x:v>◉△</x:v>
      </x:c>
      <x:c r="G370" t="n">
        <x:v>29.2</x:v>
      </x:c>
      <x:c r="H370" t="n">
        <x:v>16</x:v>
      </x:c>
      <x:c r="I370" t="n">
        <x:v>6.5</x:v>
      </x:c>
      <x:c r="J370" t="n">
        <x:v>25</x:v>
      </x:c>
      <x:c r="K370" t="n">
        <x:v>63.7</x:v>
      </x:c>
      <x:c r="L370" t="str">
        <x:v>ASK</x:v>
      </x:c>
      <x:c r="M370" t="str">
        <x:v>□◎ + ◉△ + △ + ◎?</x:v>
      </x:c>
      <x:c r="N370" t="str">
        <x:v>Al(Form builder) with P(Energy memory): ASK in model.</x:v>
      </x:c>
    </x:row>
    <x:row r="371">
      <x:c r="A371" t="str">
        <x:v>Al</x:v>
      </x:c>
      <x:c r="B371" t="str">
        <x:v>S</x:v>
      </x:c>
      <x:c r="C371" t="str">
        <x:v>Form builder</x:v>
      </x:c>
      <x:c r="D371" t="str">
        <x:v>Connector phase</x:v>
      </x:c>
      <x:c r="E371" t="str">
        <x:v>□◎</x:v>
      </x:c>
      <x:c r="F371" t="str">
        <x:v>↺▽</x:v>
      </x:c>
      <x:c r="G371" t="n">
        <x:v>28.9</x:v>
      </x:c>
      <x:c r="H371" t="n">
        <x:v>17</x:v>
      </x:c>
      <x:c r="I371" t="n">
        <x:v>6</x:v>
      </x:c>
      <x:c r="J371" t="n">
        <x:v>24.5</x:v>
      </x:c>
      <x:c r="K371" t="n">
        <x:v>64.4</x:v>
      </x:c>
      <x:c r="L371" t="str">
        <x:v>ASK</x:v>
      </x:c>
      <x:c r="M371" t="str">
        <x:v>□◎ + ↺▽ + △ + ◎?</x:v>
      </x:c>
      <x:c r="N371" t="str">
        <x:v>Al(Form builder) with S(Connector phase): ASK in model.</x:v>
      </x:c>
    </x:row>
    <x:row r="372">
      <x:c r="A372" t="str">
        <x:v>Al</x:v>
      </x:c>
      <x:c r="B372" t="str">
        <x:v>Cl</x:v>
      </x:c>
      <x:c r="C372" t="str">
        <x:v>Form builder</x:v>
      </x:c>
      <x:c r="D372" t="str">
        <x:v>Receiver closure</x:v>
      </x:c>
      <x:c r="E372" t="str">
        <x:v>□◎</x:v>
      </x:c>
      <x:c r="F372" t="str">
        <x:v>▽◎</x:v>
      </x:c>
      <x:c r="G372" t="n">
        <x:v>38.4</x:v>
      </x:c>
      <x:c r="H372" t="n">
        <x:v>12</x:v>
      </x:c>
      <x:c r="I372" t="n">
        <x:v>7</x:v>
      </x:c>
      <x:c r="J372" t="n">
        <x:v>25.5</x:v>
      </x:c>
      <x:c r="K372" t="n">
        <x:v>68.9</x:v>
      </x:c>
      <x:c r="L372" t="str">
        <x:v>ASK</x:v>
      </x:c>
      <x:c r="M372" t="str">
        <x:v>□◎ + ▽◎ + △ + ◎?</x:v>
      </x:c>
      <x:c r="N372" t="str">
        <x:v>Al(Form builder) with Cl(Receiver closure): ASK in model.</x:v>
      </x:c>
    </x:row>
    <x:row r="373">
      <x:c r="A373" t="str">
        <x:v>Al</x:v>
      </x:c>
      <x:c r="B373" t="str">
        <x:v>Ar</x:v>
      </x:c>
      <x:c r="C373" t="str">
        <x:v>Form builder</x:v>
      </x:c>
      <x:c r="D373" t="str">
        <x:v>Closed Gate</x:v>
      </x:c>
      <x:c r="E373" t="str">
        <x:v>□◎</x:v>
      </x:c>
      <x:c r="F373" t="str">
        <x:v>◎✓</x:v>
      </x:c>
      <x:c r="G373" t="n">
        <x:v>2.2</x:v>
      </x:c>
      <x:c r="H373" t="n">
        <x:v>18</x:v>
      </x:c>
      <x:c r="I373" t="n">
        <x:v>3</x:v>
      </x:c>
      <x:c r="J373" t="n">
        <x:v>32</x:v>
      </x:c>
      <x:c r="K373" t="n">
        <x:v>49.2</x:v>
      </x:c>
      <x:c r="L373" t="str">
        <x:v>REPAIR</x:v>
      </x:c>
      <x:c r="M373" t="str">
        <x:v>□◎ + ◎✓ + △ + ↺</x:v>
      </x:c>
      <x:c r="N373" t="str">
        <x:v>Al(Form builder) with Ar(Closed Gate): REPAIR in model.</x:v>
      </x:c>
    </x:row>
    <x:row r="374">
      <x:c r="A374" t="str">
        <x:v>Al</x:v>
      </x:c>
      <x:c r="B374" t="str">
        <x:v>K</x:v>
      </x:c>
      <x:c r="C374" t="str">
        <x:v>Form builder</x:v>
      </x:c>
      <x:c r="D374" t="str">
        <x:v>Heavy opener</x:v>
      </x:c>
      <x:c r="E374" t="str">
        <x:v>□◎</x:v>
      </x:c>
      <x:c r="F374" t="str">
        <x:v>△ᛏ</x:v>
      </x:c>
      <x:c r="G374" t="n">
        <x:v>19.4</x:v>
      </x:c>
      <x:c r="H374" t="n">
        <x:v>10</x:v>
      </x:c>
      <x:c r="I374" t="n">
        <x:v>9</x:v>
      </x:c>
      <x:c r="J374" t="n">
        <x:v>17.5</x:v>
      </x:c>
      <x:c r="K374" t="n">
        <x:v>37.9</x:v>
      </x:c>
      <x:c r="L374" t="str">
        <x:v>HOLD</x:v>
      </x:c>
      <x:c r="M374" t="str">
        <x:v>□◎ + △ᛏ + △ + HOLD</x:v>
      </x:c>
      <x:c r="N374" t="str">
        <x:v>Al(Form builder) with K(Heavy opener): HOLD in model.</x:v>
      </x:c>
    </x:row>
    <x:row r="375">
      <x:c r="A375" t="str">
        <x:v>Al</x:v>
      </x:c>
      <x:c r="B375" t="str">
        <x:v>Ca</x:v>
      </x:c>
      <x:c r="C375" t="str">
        <x:v>Form builder</x:v>
      </x:c>
      <x:c r="D375" t="str">
        <x:v>Tank structure</x:v>
      </x:c>
      <x:c r="E375" t="str">
        <x:v>□◎</x:v>
      </x:c>
      <x:c r="F375" t="str">
        <x:v>ᛉ□</x:v>
      </x:c>
      <x:c r="G375" t="n">
        <x:v>17.4</x:v>
      </x:c>
      <x:c r="H375" t="n">
        <x:v>20</x:v>
      </x:c>
      <x:c r="I375" t="n">
        <x:v>5.5</x:v>
      </x:c>
      <x:c r="J375" t="n">
        <x:v>25</x:v>
      </x:c>
      <x:c r="K375" t="n">
        <x:v>56.9</x:v>
      </x:c>
      <x:c r="L375" t="str">
        <x:v>REPAIR</x:v>
      </x:c>
      <x:c r="M375" t="str">
        <x:v>□◎ + ᛉ□ + △ + ↺</x:v>
      </x:c>
      <x:c r="N375" t="str">
        <x:v>Al(Form builder) with Ca(Tank structure): REPAIR in model.</x:v>
      </x:c>
    </x:row>
    <x:row r="376">
      <x:c r="A376" t="str">
        <x:v>Al</x:v>
      </x:c>
      <x:c r="B376" t="str">
        <x:v>Sc</x:v>
      </x:c>
      <x:c r="C376" t="str">
        <x:v>Form builder</x:v>
      </x:c>
      <x:c r="D376" t="str">
        <x:v>Transition bridge</x:v>
      </x:c>
      <x:c r="E376" t="str">
        <x:v>□◎</x:v>
      </x:c>
      <x:c r="F376" t="str">
        <x:v>↺□</x:v>
      </x:c>
      <x:c r="G376" t="n">
        <x:v>19.2</x:v>
      </x:c>
      <x:c r="H376" t="n">
        <x:v>19</x:v>
      </x:c>
      <x:c r="I376" t="n">
        <x:v>5.5</x:v>
      </x:c>
      <x:c r="J376" t="n">
        <x:v>24.5</x:v>
      </x:c>
      <x:c r="K376" t="n">
        <x:v>57.2</x:v>
      </x:c>
      <x:c r="L376" t="str">
        <x:v>REPAIR</x:v>
      </x:c>
      <x:c r="M376" t="str">
        <x:v>□◎ + ↺□ + △ + ↺</x:v>
      </x:c>
      <x:c r="N376" t="str">
        <x:v>Al(Form builder) with Sc(Transition bridge): REPAIR in model.</x:v>
      </x:c>
    </x:row>
    <x:row r="377">
      <x:c r="A377" t="str">
        <x:v>Al</x:v>
      </x:c>
      <x:c r="B377" t="str">
        <x:v>Ti</x:v>
      </x:c>
      <x:c r="C377" t="str">
        <x:v>Form builder</x:v>
      </x:c>
      <x:c r="D377" t="str">
        <x:v>Strong structure</x:v>
      </x:c>
      <x:c r="E377" t="str">
        <x:v>□◎</x:v>
      </x:c>
      <x:c r="F377" t="str">
        <x:v>ᛉ□</x:v>
      </x:c>
      <x:c r="G377" t="n">
        <x:v>19.2</x:v>
      </x:c>
      <x:c r="H377" t="n">
        <x:v>18</x:v>
      </x:c>
      <x:c r="I377" t="n">
        <x:v>4.5</x:v>
      </x:c>
      <x:c r="J377" t="n">
        <x:v>27.5</x:v>
      </x:c>
      <x:c r="K377" t="n">
        <x:v>60.2</x:v>
      </x:c>
      <x:c r="L377" t="str">
        <x:v>ASK</x:v>
      </x:c>
      <x:c r="M377" t="str">
        <x:v>□◎ + ᛉ□ + △ + ◎?</x:v>
      </x:c>
      <x:c r="N377" t="str">
        <x:v>Al(Form builder) with Ti(Strong structure): ASK in model.</x:v>
      </x:c>
    </x:row>
    <x:row r="378">
      <x:c r="A378" t="str">
        <x:v>Al</x:v>
      </x:c>
      <x:c r="B378" t="str">
        <x:v>V</x:v>
      </x:c>
      <x:c r="C378" t="str">
        <x:v>Form builder</x:v>
      </x:c>
      <x:c r="D378" t="str">
        <x:v>Multi-state gate</x:v>
      </x:c>
      <x:c r="E378" t="str">
        <x:v>□◎</x:v>
      </x:c>
      <x:c r="F378" t="str">
        <x:v>◎↺</x:v>
      </x:c>
      <x:c r="G378" t="n">
        <x:v>23.8</x:v>
      </x:c>
      <x:c r="H378" t="n">
        <x:v>19</x:v>
      </x:c>
      <x:c r="I378" t="n">
        <x:v>7</x:v>
      </x:c>
      <x:c r="J378" t="n">
        <x:v>25</x:v>
      </x:c>
      <x:c r="K378" t="n">
        <x:v>60.8</x:v>
      </x:c>
      <x:c r="L378" t="str">
        <x:v>ASK</x:v>
      </x:c>
      <x:c r="M378" t="str">
        <x:v>□◎ + ◎↺ + △ + ◎?</x:v>
      </x:c>
      <x:c r="N378" t="str">
        <x:v>Al(Form builder) with V(Multi-state gate): ASK in model.</x:v>
      </x:c>
    </x:row>
    <x:row r="379">
      <x:c r="A379" t="str">
        <x:v>Al</x:v>
      </x:c>
      <x:c r="B379" t="str">
        <x:v>Cr</x:v>
      </x:c>
      <x:c r="C379" t="str">
        <x:v>Form builder</x:v>
      </x:c>
      <x:c r="D379" t="str">
        <x:v>Surface guardian</x:v>
      </x:c>
      <x:c r="E379" t="str">
        <x:v>□◎</x:v>
      </x:c>
      <x:c r="F379" t="str">
        <x:v>ᛉ◎</x:v>
      </x:c>
      <x:c r="G379" t="n">
        <x:v>22.9</x:v>
      </x:c>
      <x:c r="H379" t="n">
        <x:v>19</x:v>
      </x:c>
      <x:c r="I379" t="n">
        <x:v>6</x:v>
      </x:c>
      <x:c r="J379" t="n">
        <x:v>27.5</x:v>
      </x:c>
      <x:c r="K379" t="n">
        <x:v>63.4</x:v>
      </x:c>
      <x:c r="L379" t="str">
        <x:v>ASK</x:v>
      </x:c>
      <x:c r="M379" t="str">
        <x:v>□◎ + ᛉ◎ + △ + ◎?</x:v>
      </x:c>
      <x:c r="N379" t="str">
        <x:v>Al(Form builder) with Cr(Surface guardian): ASK in model.</x:v>
      </x:c>
    </x:row>
    <x:row r="380">
      <x:c r="A380" t="str">
        <x:v>Al</x:v>
      </x:c>
      <x:c r="B380" t="str">
        <x:v>Mn</x:v>
      </x:c>
      <x:c r="C380" t="str">
        <x:v>Form builder</x:v>
      </x:c>
      <x:c r="D380" t="str">
        <x:v>Redox archer</x:v>
      </x:c>
      <x:c r="E380" t="str">
        <x:v>□◎</x:v>
      </x:c>
      <x:c r="F380" t="str">
        <x:v>ᛏ↺</x:v>
      </x:c>
      <x:c r="G380" t="n">
        <x:v>28.2</x:v>
      </x:c>
      <x:c r="H380" t="n">
        <x:v>17</x:v>
      </x:c>
      <x:c r="I380" t="n">
        <x:v>8</x:v>
      </x:c>
      <x:c r="J380" t="n">
        <x:v>23.5</x:v>
      </x:c>
      <x:c r="K380" t="n">
        <x:v>60.7</x:v>
      </x:c>
      <x:c r="L380" t="str">
        <x:v>ASK</x:v>
      </x:c>
      <x:c r="M380" t="str">
        <x:v>□◎ + ᛏ↺ + △ + ◎?</x:v>
      </x:c>
      <x:c r="N380" t="str">
        <x:v>Al(Form builder) with Mn(Redox archer): ASK in model.</x:v>
      </x:c>
    </x:row>
    <x:row r="381">
      <x:c r="A381" t="str">
        <x:v>Al</x:v>
      </x:c>
      <x:c r="B381" t="str">
        <x:v>Fe</x:v>
      </x:c>
      <x:c r="C381" t="str">
        <x:v>Form builder</x:v>
      </x:c>
      <x:c r="D381" t="str">
        <x:v>Tank memory</x:v>
      </x:c>
      <x:c r="E381" t="str">
        <x:v>□◎</x:v>
      </x:c>
      <x:c r="F381" t="str">
        <x:v>ᛉ◉</x:v>
      </x:c>
      <x:c r="G381" t="n">
        <x:v>26.5</x:v>
      </x:c>
      <x:c r="H381" t="n">
        <x:v>18</x:v>
      </x:c>
      <x:c r="I381" t="n">
        <x:v>6</x:v>
      </x:c>
      <x:c r="J381" t="n">
        <x:v>26.5</x:v>
      </x:c>
      <x:c r="K381" t="n">
        <x:v>65</x:v>
      </x:c>
      <x:c r="L381" t="str">
        <x:v>ASK</x:v>
      </x:c>
      <x:c r="M381" t="str">
        <x:v>□◎ + ᛉ◉ + △ + ◎?</x:v>
      </x:c>
      <x:c r="N381" t="str">
        <x:v>Al(Form builder) with Fe(Tank memory): ASK in model.</x:v>
      </x:c>
    </x:row>
    <x:row r="382">
      <x:c r="A382" t="str">
        <x:v>Al</x:v>
      </x:c>
      <x:c r="B382" t="str">
        <x:v>Co</x:v>
      </x:c>
      <x:c r="C382" t="str">
        <x:v>Form builder</x:v>
      </x:c>
      <x:c r="D382" t="str">
        <x:v>Magnetic bridge</x:v>
      </x:c>
      <x:c r="E382" t="str">
        <x:v>□◎</x:v>
      </x:c>
      <x:c r="F382" t="str">
        <x:v>◉ᛉ</x:v>
      </x:c>
      <x:c r="G382" t="n">
        <x:v>24.2</x:v>
      </x:c>
      <x:c r="H382" t="n">
        <x:v>19</x:v>
      </x:c>
      <x:c r="I382" t="n">
        <x:v>6</x:v>
      </x:c>
      <x:c r="J382" t="n">
        <x:v>26</x:v>
      </x:c>
      <x:c r="K382" t="n">
        <x:v>63.2</x:v>
      </x:c>
      <x:c r="L382" t="str">
        <x:v>ASK</x:v>
      </x:c>
      <x:c r="M382" t="str">
        <x:v>□◎ + ◉ᛉ + △ + ◎?</x:v>
      </x:c>
      <x:c r="N382" t="str">
        <x:v>Al(Form builder) with Co(Magnetic bridge): ASK in model.</x:v>
      </x:c>
    </x:row>
    <x:row r="383">
      <x:c r="A383" t="str">
        <x:v>Al</x:v>
      </x:c>
      <x:c r="B383" t="str">
        <x:v>Ni</x:v>
      </x:c>
      <x:c r="C383" t="str">
        <x:v>Form builder</x:v>
      </x:c>
      <x:c r="D383" t="str">
        <x:v>Catalytic guard</x:v>
      </x:c>
      <x:c r="E383" t="str">
        <x:v>□◎</x:v>
      </x:c>
      <x:c r="F383" t="str">
        <x:v>◎↺</x:v>
      </x:c>
      <x:c r="G383" t="n">
        <x:v>24.8</x:v>
      </x:c>
      <x:c r="H383" t="n">
        <x:v>19</x:v>
      </x:c>
      <x:c r="I383" t="n">
        <x:v>5.5</x:v>
      </x:c>
      <x:c r="J383" t="n">
        <x:v>27</x:v>
      </x:c>
      <x:c r="K383" t="n">
        <x:v>65.3</x:v>
      </x:c>
      <x:c r="L383" t="str">
        <x:v>ASK</x:v>
      </x:c>
      <x:c r="M383" t="str">
        <x:v>□◎ + ◎↺ + △ + ◎?</x:v>
      </x:c>
      <x:c r="N383" t="str">
        <x:v>Al(Form builder) with Ni(Catalytic guard): ASK in model.</x:v>
      </x:c>
    </x:row>
    <x:row r="384">
      <x:c r="A384" t="str">
        <x:v>Al</x:v>
      </x:c>
      <x:c r="B384" t="str">
        <x:v>Cu</x:v>
      </x:c>
      <x:c r="C384" t="str">
        <x:v>Form builder</x:v>
      </x:c>
      <x:c r="D384" t="str">
        <x:v>Conductor flow</x:v>
      </x:c>
      <x:c r="E384" t="str">
        <x:v>□◎</x:v>
      </x:c>
      <x:c r="F384" t="str">
        <x:v>↺ᛏ</x:v>
      </x:c>
      <x:c r="G384" t="n">
        <x:v>25.6</x:v>
      </x:c>
      <x:c r="H384" t="n">
        <x:v>19</x:v>
      </x:c>
      <x:c r="I384" t="n">
        <x:v>5</x:v>
      </x:c>
      <x:c r="J384" t="n">
        <x:v>26</x:v>
      </x:c>
      <x:c r="K384" t="n">
        <x:v>65.6</x:v>
      </x:c>
      <x:c r="L384" t="str">
        <x:v>ASK</x:v>
      </x:c>
      <x:c r="M384" t="str">
        <x:v>□◎ + ↺ᛏ + △ + ◎?</x:v>
      </x:c>
      <x:c r="N384" t="str">
        <x:v>Al(Form builder) with Cu(Conductor flow): ASK in model.</x:v>
      </x:c>
    </x:row>
    <x:row r="385">
      <x:c r="A385" t="str">
        <x:v>Al</x:v>
      </x:c>
      <x:c r="B385" t="str">
        <x:v>Zn</x:v>
      </x:c>
      <x:c r="C385" t="str">
        <x:v>Form builder</x:v>
      </x:c>
      <x:c r="D385" t="str">
        <x:v>Enzyme stabilizer</x:v>
      </x:c>
      <x:c r="E385" t="str">
        <x:v>□◎</x:v>
      </x:c>
      <x:c r="F385" t="str">
        <x:v>◎□</x:v>
      </x:c>
      <x:c r="G385" t="n">
        <x:v>19.4</x:v>
      </x:c>
      <x:c r="H385" t="n">
        <x:v>19</x:v>
      </x:c>
      <x:c r="I385" t="n">
        <x:v>4.5</x:v>
      </x:c>
      <x:c r="J385" t="n">
        <x:v>29</x:v>
      </x:c>
      <x:c r="K385" t="n">
        <x:v>62.9</x:v>
      </x:c>
      <x:c r="L385" t="str">
        <x:v>ASK</x:v>
      </x:c>
      <x:c r="M385" t="str">
        <x:v>□◎ + ◎□ + △ + ◎?</x:v>
      </x:c>
      <x:c r="N385" t="str">
        <x:v>Al(Form builder) with Zn(Enzyme stabilizer): ASK in model.</x:v>
      </x:c>
    </x:row>
    <x:row r="386">
      <x:c r="A386" t="str">
        <x:v>Al</x:v>
      </x:c>
      <x:c r="B386" t="str">
        <x:v>Ga</x:v>
      </x:c>
      <x:c r="C386" t="str">
        <x:v>Form builder</x:v>
      </x:c>
      <x:c r="D386" t="str">
        <x:v>Soft form gate</x:v>
      </x:c>
      <x:c r="E386" t="str">
        <x:v>□◎</x:v>
      </x:c>
      <x:c r="F386" t="str">
        <x:v>□↺</x:v>
      </x:c>
      <x:c r="G386" t="n">
        <x:v>18.9</x:v>
      </x:c>
      <x:c r="H386" t="n">
        <x:v>18</x:v>
      </x:c>
      <x:c r="I386" t="n">
        <x:v>5.5</x:v>
      </x:c>
      <x:c r="J386" t="n">
        <x:v>24</x:v>
      </x:c>
      <x:c r="K386" t="n">
        <x:v>55.4</x:v>
      </x:c>
      <x:c r="L386" t="str">
        <x:v>REPAIR</x:v>
      </x:c>
      <x:c r="M386" t="str">
        <x:v>□◎ + □↺ + △ + ↺</x:v>
      </x:c>
      <x:c r="N386" t="str">
        <x:v>Al(Form builder) with Ga(Soft form gate): REPAIR in model.</x:v>
      </x:c>
    </x:row>
    <x:row r="387">
      <x:c r="A387" t="str">
        <x:v>Al</x:v>
      </x:c>
      <x:c r="B387" t="str">
        <x:v>Ge</x:v>
      </x:c>
      <x:c r="C387" t="str">
        <x:v>Form builder</x:v>
      </x:c>
      <x:c r="D387" t="str">
        <x:v>Semi lattice</x:v>
      </x:c>
      <x:c r="E387" t="str">
        <x:v>□◎</x:v>
      </x:c>
      <x:c r="F387" t="str">
        <x:v>□◎</x:v>
      </x:c>
      <x:c r="G387" t="n">
        <x:v>19.4</x:v>
      </x:c>
      <x:c r="H387" t="n">
        <x:v>19</x:v>
      </x:c>
      <x:c r="I387" t="n">
        <x:v>5</x:v>
      </x:c>
      <x:c r="J387" t="n">
        <x:v>26.5</x:v>
      </x:c>
      <x:c r="K387" t="n">
        <x:v>59.9</x:v>
      </x:c>
      <x:c r="L387" t="str">
        <x:v>ASK</x:v>
      </x:c>
      <x:c r="M387" t="str">
        <x:v>□◎ + □◎ + △ + ◎?</x:v>
      </x:c>
      <x:c r="N387" t="str">
        <x:v>Al(Form builder) with Ge(Semi lattice): ASK in model.</x:v>
      </x:c>
    </x:row>
    <x:row r="388">
      <x:c r="A388" t="str">
        <x:v>Al</x:v>
      </x:c>
      <x:c r="B388" t="str">
        <x:v>As</x:v>
      </x:c>
      <x:c r="C388" t="str">
        <x:v>Form builder</x:v>
      </x:c>
      <x:c r="D388" t="str">
        <x:v>Shadow gate</x:v>
      </x:c>
      <x:c r="E388" t="str">
        <x:v>□◎</x:v>
      </x:c>
      <x:c r="F388" t="str">
        <x:v>∅◎</x:v>
      </x:c>
      <x:c r="G388" t="n">
        <x:v>23.9</x:v>
      </x:c>
      <x:c r="H388" t="n">
        <x:v>17</x:v>
      </x:c>
      <x:c r="I388" t="n">
        <x:v>10</x:v>
      </x:c>
      <x:c r="J388" t="n">
        <x:v>21.5</x:v>
      </x:c>
      <x:c r="K388" t="n">
        <x:v>52.4</x:v>
      </x:c>
      <x:c r="L388" t="str">
        <x:v>REPAIR</x:v>
      </x:c>
      <x:c r="M388" t="str">
        <x:v>□◎ + ∅◎ + △ + ↺</x:v>
      </x:c>
      <x:c r="N388" t="str">
        <x:v>Al(Form builder) with As(Shadow gate): REPAIR in model.</x:v>
      </x:c>
    </x:row>
    <x:row r="389">
      <x:c r="A389" t="str">
        <x:v>Al</x:v>
      </x:c>
      <x:c r="B389" t="str">
        <x:v>Se</x:v>
      </x:c>
      <x:c r="C389" t="str">
        <x:v>Form builder</x:v>
      </x:c>
      <x:c r="D389" t="str">
        <x:v>Trace healer</x:v>
      </x:c>
      <x:c r="E389" t="str">
        <x:v>□◎</x:v>
      </x:c>
      <x:c r="F389" t="str">
        <x:v>↺◉</x:v>
      </x:c>
      <x:c r="G389" t="n">
        <x:v>25.8</x:v>
      </x:c>
      <x:c r="H389" t="n">
        <x:v>17</x:v>
      </x:c>
      <x:c r="I389" t="n">
        <x:v>6.5</x:v>
      </x:c>
      <x:c r="J389" t="n">
        <x:v>25</x:v>
      </x:c>
      <x:c r="K389" t="n">
        <x:v>61.3</x:v>
      </x:c>
      <x:c r="L389" t="str">
        <x:v>ASK</x:v>
      </x:c>
      <x:c r="M389" t="str">
        <x:v>□◎ + ↺◉ + △ + ◎?</x:v>
      </x:c>
      <x:c r="N389" t="str">
        <x:v>Al(Form builder) with Se(Trace healer): ASK in model.</x:v>
      </x:c>
    </x:row>
    <x:row r="390">
      <x:c r="A390" t="str">
        <x:v>Al</x:v>
      </x:c>
      <x:c r="B390" t="str">
        <x:v>Br</x:v>
      </x:c>
      <x:c r="C390" t="str">
        <x:v>Form builder</x:v>
      </x:c>
      <x:c r="D390" t="str">
        <x:v>Heavy receiver</x:v>
      </x:c>
      <x:c r="E390" t="str">
        <x:v>□◎</x:v>
      </x:c>
      <x:c r="F390" t="str">
        <x:v>▽∅</x:v>
      </x:c>
      <x:c r="G390" t="n">
        <x:v>36.1</x:v>
      </x:c>
      <x:c r="H390" t="n">
        <x:v>13</x:v>
      </x:c>
      <x:c r="I390" t="n">
        <x:v>8</x:v>
      </x:c>
      <x:c r="J390" t="n">
        <x:v>24</x:v>
      </x:c>
      <x:c r="K390" t="n">
        <x:v>65.1</x:v>
      </x:c>
      <x:c r="L390" t="str">
        <x:v>ASK</x:v>
      </x:c>
      <x:c r="M390" t="str">
        <x:v>□◎ + ▽∅ + △ + ◎?</x:v>
      </x:c>
      <x:c r="N390" t="str">
        <x:v>Al(Form builder) with Br(Heavy receiver): ASK in model.</x:v>
      </x:c>
    </x:row>
    <x:row r="391">
      <x:c r="A391" t="str">
        <x:v>Al</x:v>
      </x:c>
      <x:c r="B391" t="str">
        <x:v>Kr</x:v>
      </x:c>
      <x:c r="C391" t="str">
        <x:v>Form builder</x:v>
      </x:c>
      <x:c r="D391" t="str">
        <x:v>Closed Gate light</x:v>
      </x:c>
      <x:c r="E391" t="str">
        <x:v>□◎</x:v>
      </x:c>
      <x:c r="F391" t="str">
        <x:v>◎✓</x:v>
      </x:c>
      <x:c r="G391" t="n">
        <x:v>2.2</x:v>
      </x:c>
      <x:c r="H391" t="n">
        <x:v>18</x:v>
      </x:c>
      <x:c r="I391" t="n">
        <x:v>3</x:v>
      </x:c>
      <x:c r="J391" t="n">
        <x:v>32</x:v>
      </x:c>
      <x:c r="K391" t="n">
        <x:v>49.2</x:v>
      </x:c>
      <x:c r="L391" t="str">
        <x:v>REPAIR</x:v>
      </x:c>
      <x:c r="M391" t="str">
        <x:v>□◎ + ◎✓ + △ + ↺</x:v>
      </x:c>
      <x:c r="N391" t="str">
        <x:v>Al(Form builder) with Kr(Closed Gate light): REPAIR in model.</x:v>
      </x:c>
    </x:row>
    <x:row r="392">
      <x:c r="A392" t="str">
        <x:v>Si</x:v>
      </x:c>
      <x:c r="B392" t="str">
        <x:v>Si</x:v>
      </x:c>
      <x:c r="C392" t="str">
        <x:v>Lattice engineer</x:v>
      </x:c>
      <x:c r="D392" t="str">
        <x:v>Lattice engineer</x:v>
      </x:c>
      <x:c r="E392" t="str">
        <x:v>□◉</x:v>
      </x:c>
      <x:c r="F392" t="str">
        <x:v>□◉</x:v>
      </x:c>
      <x:c r="G392" t="n">
        <x:v>18</x:v>
      </x:c>
      <x:c r="H392" t="n">
        <x:v>20</x:v>
      </x:c>
      <x:c r="I392" t="n">
        <x:v>4</x:v>
      </x:c>
      <x:c r="J392" t="n">
        <x:v>30</x:v>
      </x:c>
      <x:c r="K392" t="n">
        <x:v>64</x:v>
      </x:c>
      <x:c r="L392" t="str">
        <x:v>ASK</x:v>
      </x:c>
      <x:c r="M392" t="str">
        <x:v>□◉ + □◉ + △ + ◎?</x:v>
      </x:c>
      <x:c r="N392" t="str">
        <x:v>Si(Lattice engineer) with Si(Lattice engineer): ASK in model.</x:v>
      </x:c>
    </x:row>
    <x:row r="393">
      <x:c r="A393" t="str">
        <x:v>Si</x:v>
      </x:c>
      <x:c r="B393" t="str">
        <x:v>P</x:v>
      </x:c>
      <x:c r="C393" t="str">
        <x:v>Lattice engineer</x:v>
      </x:c>
      <x:c r="D393" t="str">
        <x:v>Energy memory</x:v>
      </x:c>
      <x:c r="E393" t="str">
        <x:v>□◉</x:v>
      </x:c>
      <x:c r="F393" t="str">
        <x:v>◉△</x:v>
      </x:c>
      <x:c r="G393" t="n">
        <x:v>27.6</x:v>
      </x:c>
      <x:c r="H393" t="n">
        <x:v>13</x:v>
      </x:c>
      <x:c r="I393" t="n">
        <x:v>6</x:v>
      </x:c>
      <x:c r="J393" t="n">
        <x:v>27.5</x:v>
      </x:c>
      <x:c r="K393" t="n">
        <x:v>62.1</x:v>
      </x:c>
      <x:c r="L393" t="str">
        <x:v>ASK</x:v>
      </x:c>
      <x:c r="M393" t="str">
        <x:v>□◉ + ◉△ + △ + ◎?</x:v>
      </x:c>
      <x:c r="N393" t="str">
        <x:v>Si(Lattice engineer) with P(Energy memory): ASK in model.</x:v>
      </x:c>
    </x:row>
    <x:row r="394">
      <x:c r="A394" t="str">
        <x:v>Si</x:v>
      </x:c>
      <x:c r="B394" t="str">
        <x:v>S</x:v>
      </x:c>
      <x:c r="C394" t="str">
        <x:v>Lattice engineer</x:v>
      </x:c>
      <x:c r="D394" t="str">
        <x:v>Connector phase</x:v>
      </x:c>
      <x:c r="E394" t="str">
        <x:v>□◉</x:v>
      </x:c>
      <x:c r="F394" t="str">
        <x:v>↺▽</x:v>
      </x:c>
      <x:c r="G394" t="n">
        <x:v>26.4</x:v>
      </x:c>
      <x:c r="H394" t="n">
        <x:v>14</x:v>
      </x:c>
      <x:c r="I394" t="n">
        <x:v>5.5</x:v>
      </x:c>
      <x:c r="J394" t="n">
        <x:v>27</x:v>
      </x:c>
      <x:c r="K394" t="n">
        <x:v>61.9</x:v>
      </x:c>
      <x:c r="L394" t="str">
        <x:v>ASK</x:v>
      </x:c>
      <x:c r="M394" t="str">
        <x:v>□◉ + ↺▽ + △ + ◎?</x:v>
      </x:c>
      <x:c r="N394" t="str">
        <x:v>Si(Lattice engineer) with S(Connector phase): ASK in model.</x:v>
      </x:c>
    </x:row>
    <x:row r="395">
      <x:c r="A395" t="str">
        <x:v>Si</x:v>
      </x:c>
      <x:c r="B395" t="str">
        <x:v>Cl</x:v>
      </x:c>
      <x:c r="C395" t="str">
        <x:v>Lattice engineer</x:v>
      </x:c>
      <x:c r="D395" t="str">
        <x:v>Receiver closure</x:v>
      </x:c>
      <x:c r="E395" t="str">
        <x:v>□◉</x:v>
      </x:c>
      <x:c r="F395" t="str">
        <x:v>▽◎</x:v>
      </x:c>
      <x:c r="G395" t="n">
        <x:v>34.8</x:v>
      </x:c>
      <x:c r="H395" t="n">
        <x:v>9</x:v>
      </x:c>
      <x:c r="I395" t="n">
        <x:v>6.5</x:v>
      </x:c>
      <x:c r="J395" t="n">
        <x:v>28</x:v>
      </x:c>
      <x:c r="K395" t="n">
        <x:v>65.3</x:v>
      </x:c>
      <x:c r="L395" t="str">
        <x:v>ASK</x:v>
      </x:c>
      <x:c r="M395" t="str">
        <x:v>□◉ + ▽◎ + △ + ◎?</x:v>
      </x:c>
      <x:c r="N395" t="str">
        <x:v>Si(Lattice engineer) with Cl(Receiver closure): ASK in model.</x:v>
      </x:c>
    </x:row>
    <x:row r="396">
      <x:c r="A396" t="str">
        <x:v>Si</x:v>
      </x:c>
      <x:c r="B396" t="str">
        <x:v>Ar</x:v>
      </x:c>
      <x:c r="C396" t="str">
        <x:v>Lattice engineer</x:v>
      </x:c>
      <x:c r="D396" t="str">
        <x:v>Closed Gate</x:v>
      </x:c>
      <x:c r="E396" t="str">
        <x:v>□◉</x:v>
      </x:c>
      <x:c r="F396" t="str">
        <x:v>◎✓</x:v>
      </x:c>
      <x:c r="G396" t="n">
        <x:v>2.1</x:v>
      </x:c>
      <x:c r="H396" t="n">
        <x:v>19</x:v>
      </x:c>
      <x:c r="I396" t="n">
        <x:v>2.5</x:v>
      </x:c>
      <x:c r="J396" t="n">
        <x:v>34.5</x:v>
      </x:c>
      <x:c r="K396" t="n">
        <x:v>53.1</x:v>
      </x:c>
      <x:c r="L396" t="str">
        <x:v>REPAIR</x:v>
      </x:c>
      <x:c r="M396" t="str">
        <x:v>□◉ + ◎✓ + △ + ↺</x:v>
      </x:c>
      <x:c r="N396" t="str">
        <x:v>Si(Lattice engineer) with Ar(Closed Gate): REPAIR in model.</x:v>
      </x:c>
    </x:row>
    <x:row r="397">
      <x:c r="A397" t="str">
        <x:v>Si</x:v>
      </x:c>
      <x:c r="B397" t="str">
        <x:v>K</x:v>
      </x:c>
      <x:c r="C397" t="str">
        <x:v>Lattice engineer</x:v>
      </x:c>
      <x:c r="D397" t="str">
        <x:v>Heavy opener</x:v>
      </x:c>
      <x:c r="E397" t="str">
        <x:v>□◉</x:v>
      </x:c>
      <x:c r="F397" t="str">
        <x:v>△ᛏ</x:v>
      </x:c>
      <x:c r="G397" t="n">
        <x:v>23.4</x:v>
      </x:c>
      <x:c r="H397" t="n">
        <x:v>7</x:v>
      </x:c>
      <x:c r="I397" t="n">
        <x:v>8.5</x:v>
      </x:c>
      <x:c r="J397" t="n">
        <x:v>20</x:v>
      </x:c>
      <x:c r="K397" t="n">
        <x:v>41.9</x:v>
      </x:c>
      <x:c r="L397" t="str">
        <x:v>HOLD</x:v>
      </x:c>
      <x:c r="M397" t="str">
        <x:v>□◉ + △ᛏ + △ + HOLD</x:v>
      </x:c>
      <x:c r="N397" t="str">
        <x:v>Si(Lattice engineer) with K(Heavy opener): HOLD in model.</x:v>
      </x:c>
    </x:row>
    <x:row r="398">
      <x:c r="A398" t="str">
        <x:v>Si</x:v>
      </x:c>
      <x:c r="B398" t="str">
        <x:v>Ca</x:v>
      </x:c>
      <x:c r="C398" t="str">
        <x:v>Lattice engineer</x:v>
      </x:c>
      <x:c r="D398" t="str">
        <x:v>Tank structure</x:v>
      </x:c>
      <x:c r="E398" t="str">
        <x:v>□◉</x:v>
      </x:c>
      <x:c r="F398" t="str">
        <x:v>ᛉ□</x:v>
      </x:c>
      <x:c r="G398" t="n">
        <x:v>18.5</x:v>
      </x:c>
      <x:c r="H398" t="n">
        <x:v>17</x:v>
      </x:c>
      <x:c r="I398" t="n">
        <x:v>5</x:v>
      </x:c>
      <x:c r="J398" t="n">
        <x:v>27.5</x:v>
      </x:c>
      <x:c r="K398" t="n">
        <x:v>58</x:v>
      </x:c>
      <x:c r="L398" t="str">
        <x:v>ASK</x:v>
      </x:c>
      <x:c r="M398" t="str">
        <x:v>□◉ + ᛉ□ + △ + ◎?</x:v>
      </x:c>
      <x:c r="N398" t="str">
        <x:v>Si(Lattice engineer) with Ca(Tank structure): ASK in model.</x:v>
      </x:c>
    </x:row>
    <x:row r="399">
      <x:c r="A399" t="str">
        <x:v>Si</x:v>
      </x:c>
      <x:c r="B399" t="str">
        <x:v>Sc</x:v>
      </x:c>
      <x:c r="C399" t="str">
        <x:v>Lattice engineer</x:v>
      </x:c>
      <x:c r="D399" t="str">
        <x:v>Transition bridge</x:v>
      </x:c>
      <x:c r="E399" t="str">
        <x:v>□◉</x:v>
      </x:c>
      <x:c r="F399" t="str">
        <x:v>↺□</x:v>
      </x:c>
      <x:c r="G399" t="n">
        <x:v>19.4</x:v>
      </x:c>
      <x:c r="H399" t="n">
        <x:v>16</x:v>
      </x:c>
      <x:c r="I399" t="n">
        <x:v>5</x:v>
      </x:c>
      <x:c r="J399" t="n">
        <x:v>27</x:v>
      </x:c>
      <x:c r="K399" t="n">
        <x:v>57.4</x:v>
      </x:c>
      <x:c r="L399" t="str">
        <x:v>REPAIR</x:v>
      </x:c>
      <x:c r="M399" t="str">
        <x:v>□◉ + ↺□ + △ + ↺</x:v>
      </x:c>
      <x:c r="N399" t="str">
        <x:v>Si(Lattice engineer) with Sc(Transition bridge): REPAIR in model.</x:v>
      </x:c>
    </x:row>
    <x:row r="400">
      <x:c r="A400" t="str">
        <x:v>Si</x:v>
      </x:c>
      <x:c r="B400" t="str">
        <x:v>Ti</x:v>
      </x:c>
      <x:c r="C400" t="str">
        <x:v>Lattice engineer</x:v>
      </x:c>
      <x:c r="D400" t="str">
        <x:v>Strong structure</x:v>
      </x:c>
      <x:c r="E400" t="str">
        <x:v>□◉</x:v>
      </x:c>
      <x:c r="F400" t="str">
        <x:v>ᛉ□</x:v>
      </x:c>
      <x:c r="G400" t="n">
        <x:v>19.4</x:v>
      </x:c>
      <x:c r="H400" t="n">
        <x:v>19</x:v>
      </x:c>
      <x:c r="I400" t="n">
        <x:v>4</x:v>
      </x:c>
      <x:c r="J400" t="n">
        <x:v>30</x:v>
      </x:c>
      <x:c r="K400" t="n">
        <x:v>64.4</x:v>
      </x:c>
      <x:c r="L400" t="str">
        <x:v>ASK</x:v>
      </x:c>
      <x:c r="M400" t="str">
        <x:v>□◉ + ᛉ□ + △ + ◎?</x:v>
      </x:c>
      <x:c r="N400" t="str">
        <x:v>Si(Lattice engineer) with Ti(Strong structure): ASK in model.</x:v>
      </x:c>
    </x:row>
    <x:row r="401">
      <x:c r="A401" t="str">
        <x:v>Si</x:v>
      </x:c>
      <x:c r="B401" t="str">
        <x:v>V</x:v>
      </x:c>
      <x:c r="C401" t="str">
        <x:v>Lattice engineer</x:v>
      </x:c>
      <x:c r="D401" t="str">
        <x:v>Multi-state gate</x:v>
      </x:c>
      <x:c r="E401" t="str">
        <x:v>□◉</x:v>
      </x:c>
      <x:c r="F401" t="str">
        <x:v>◎↺</x:v>
      </x:c>
      <x:c r="G401" t="n">
        <x:v>23.6</x:v>
      </x:c>
      <x:c r="H401" t="n">
        <x:v>16</x:v>
      </x:c>
      <x:c r="I401" t="n">
        <x:v>6.5</x:v>
      </x:c>
      <x:c r="J401" t="n">
        <x:v>27.5</x:v>
      </x:c>
      <x:c r="K401" t="n">
        <x:v>60.6</x:v>
      </x:c>
      <x:c r="L401" t="str">
        <x:v>ASK</x:v>
      </x:c>
      <x:c r="M401" t="str">
        <x:v>□◉ + ◎↺ + △ + ◎?</x:v>
      </x:c>
      <x:c r="N401" t="str">
        <x:v>Si(Lattice engineer) with V(Multi-state gate): ASK in model.</x:v>
      </x:c>
    </x:row>
    <x:row r="402">
      <x:c r="A402" t="str">
        <x:v>Si</x:v>
      </x:c>
      <x:c r="B402" t="str">
        <x:v>Cr</x:v>
      </x:c>
      <x:c r="C402" t="str">
        <x:v>Lattice engineer</x:v>
      </x:c>
      <x:c r="D402" t="str">
        <x:v>Surface guardian</x:v>
      </x:c>
      <x:c r="E402" t="str">
        <x:v>□◉</x:v>
      </x:c>
      <x:c r="F402" t="str">
        <x:v>ᛉ◎</x:v>
      </x:c>
      <x:c r="G402" t="n">
        <x:v>22.5</x:v>
      </x:c>
      <x:c r="H402" t="n">
        <x:v>18</x:v>
      </x:c>
      <x:c r="I402" t="n">
        <x:v>5.5</x:v>
      </x:c>
      <x:c r="J402" t="n">
        <x:v>30</x:v>
      </x:c>
      <x:c r="K402" t="n">
        <x:v>65</x:v>
      </x:c>
      <x:c r="L402" t="str">
        <x:v>ASK</x:v>
      </x:c>
      <x:c r="M402" t="str">
        <x:v>□◉ + ᛉ◎ + △ + ◎?</x:v>
      </x:c>
      <x:c r="N402" t="str">
        <x:v>Si(Lattice engineer) with Cr(Surface guardian): ASK in model.</x:v>
      </x:c>
    </x:row>
    <x:row r="403">
      <x:c r="A403" t="str">
        <x:v>Si</x:v>
      </x:c>
      <x:c r="B403" t="str">
        <x:v>Mn</x:v>
      </x:c>
      <x:c r="C403" t="str">
        <x:v>Lattice engineer</x:v>
      </x:c>
      <x:c r="D403" t="str">
        <x:v>Redox archer</x:v>
      </x:c>
      <x:c r="E403" t="str">
        <x:v>□◉</x:v>
      </x:c>
      <x:c r="F403" t="str">
        <x:v>ᛏ↺</x:v>
      </x:c>
      <x:c r="G403" t="n">
        <x:v>27.9</x:v>
      </x:c>
      <x:c r="H403" t="n">
        <x:v>14</x:v>
      </x:c>
      <x:c r="I403" t="n">
        <x:v>7.5</x:v>
      </x:c>
      <x:c r="J403" t="n">
        <x:v>26</x:v>
      </x:c>
      <x:c r="K403" t="n">
        <x:v>60.4</x:v>
      </x:c>
      <x:c r="L403" t="str">
        <x:v>ASK</x:v>
      </x:c>
      <x:c r="M403" t="str">
        <x:v>□◉ + ᛏ↺ + △ + ◎?</x:v>
      </x:c>
      <x:c r="N403" t="str">
        <x:v>Si(Lattice engineer) with Mn(Redox archer): ASK in model.</x:v>
      </x:c>
    </x:row>
    <x:row r="404">
      <x:c r="A404" t="str">
        <x:v>Si</x:v>
      </x:c>
      <x:c r="B404" t="str">
        <x:v>Fe</x:v>
      </x:c>
      <x:c r="C404" t="str">
        <x:v>Lattice engineer</x:v>
      </x:c>
      <x:c r="D404" t="str">
        <x:v>Tank memory</x:v>
      </x:c>
      <x:c r="E404" t="str">
        <x:v>□◉</x:v>
      </x:c>
      <x:c r="F404" t="str">
        <x:v>ᛉ◉</x:v>
      </x:c>
      <x:c r="G404" t="n">
        <x:v>25.6</x:v>
      </x:c>
      <x:c r="H404" t="n">
        <x:v>19</x:v>
      </x:c>
      <x:c r="I404" t="n">
        <x:v>5.5</x:v>
      </x:c>
      <x:c r="J404" t="n">
        <x:v>29</x:v>
      </x:c>
      <x:c r="K404" t="n">
        <x:v>68.1</x:v>
      </x:c>
      <x:c r="L404" t="str">
        <x:v>ASK</x:v>
      </x:c>
      <x:c r="M404" t="str">
        <x:v>□◉ + ᛉ◉ + △ + ◎?</x:v>
      </x:c>
      <x:c r="N404" t="str">
        <x:v>Si(Lattice engineer) with Fe(Tank memory): ASK in model.</x:v>
      </x:c>
    </x:row>
    <x:row r="405">
      <x:c r="A405" t="str">
        <x:v>Si</x:v>
      </x:c>
      <x:c r="B405" t="str">
        <x:v>Co</x:v>
      </x:c>
      <x:c r="C405" t="str">
        <x:v>Lattice engineer</x:v>
      </x:c>
      <x:c r="D405" t="str">
        <x:v>Magnetic bridge</x:v>
      </x:c>
      <x:c r="E405" t="str">
        <x:v>□◉</x:v>
      </x:c>
      <x:c r="F405" t="str">
        <x:v>◉ᛉ</x:v>
      </x:c>
      <x:c r="G405" t="n">
        <x:v>23.5</x:v>
      </x:c>
      <x:c r="H405" t="n">
        <x:v>18</x:v>
      </x:c>
      <x:c r="I405" t="n">
        <x:v>5.5</x:v>
      </x:c>
      <x:c r="J405" t="n">
        <x:v>28.5</x:v>
      </x:c>
      <x:c r="K405" t="n">
        <x:v>64.5</x:v>
      </x:c>
      <x:c r="L405" t="str">
        <x:v>ASK</x:v>
      </x:c>
      <x:c r="M405" t="str">
        <x:v>□◉ + ◉ᛉ + △ + ◎?</x:v>
      </x:c>
      <x:c r="N405" t="str">
        <x:v>Si(Lattice engineer) with Co(Magnetic bridge): ASK in model.</x:v>
      </x:c>
    </x:row>
    <x:row r="406">
      <x:c r="A406" t="str">
        <x:v>Si</x:v>
      </x:c>
      <x:c r="B406" t="str">
        <x:v>Ni</x:v>
      </x:c>
      <x:c r="C406" t="str">
        <x:v>Lattice engineer</x:v>
      </x:c>
      <x:c r="D406" t="str">
        <x:v>Catalytic guard</x:v>
      </x:c>
      <x:c r="E406" t="str">
        <x:v>□◉</x:v>
      </x:c>
      <x:c r="F406" t="str">
        <x:v>◎↺</x:v>
      </x:c>
      <x:c r="G406" t="n">
        <x:v>23.4</x:v>
      </x:c>
      <x:c r="H406" t="n">
        <x:v>18</x:v>
      </x:c>
      <x:c r="I406" t="n">
        <x:v>5</x:v>
      </x:c>
      <x:c r="J406" t="n">
        <x:v>29.5</x:v>
      </x:c>
      <x:c r="K406" t="n">
        <x:v>65.9</x:v>
      </x:c>
      <x:c r="L406" t="str">
        <x:v>ASK</x:v>
      </x:c>
      <x:c r="M406" t="str">
        <x:v>□◉ + ◎↺ + △ + ◎?</x:v>
      </x:c>
      <x:c r="N406" t="str">
        <x:v>Si(Lattice engineer) with Ni(Catalytic guard): ASK in model.</x:v>
      </x:c>
    </x:row>
    <x:row r="407">
      <x:c r="A407" t="str">
        <x:v>Si</x:v>
      </x:c>
      <x:c r="B407" t="str">
        <x:v>Cu</x:v>
      </x:c>
      <x:c r="C407" t="str">
        <x:v>Lattice engineer</x:v>
      </x:c>
      <x:c r="D407" t="str">
        <x:v>Conductor flow</x:v>
      </x:c>
      <x:c r="E407" t="str">
        <x:v>□◉</x:v>
      </x:c>
      <x:c r="F407" t="str">
        <x:v>↺ᛏ</x:v>
      </x:c>
      <x:c r="G407" t="n">
        <x:v>24.5</x:v>
      </x:c>
      <x:c r="H407" t="n">
        <x:v>16</x:v>
      </x:c>
      <x:c r="I407" t="n">
        <x:v>4.5</x:v>
      </x:c>
      <x:c r="J407" t="n">
        <x:v>28.5</x:v>
      </x:c>
      <x:c r="K407" t="n">
        <x:v>64.5</x:v>
      </x:c>
      <x:c r="L407" t="str">
        <x:v>ASK</x:v>
      </x:c>
      <x:c r="M407" t="str">
        <x:v>□◉ + ↺ᛏ + △ + ◎?</x:v>
      </x:c>
      <x:c r="N407" t="str">
        <x:v>Si(Lattice engineer) with Cu(Conductor flow): ASK in model.</x:v>
      </x:c>
    </x:row>
    <x:row r="408">
      <x:c r="A408" t="str">
        <x:v>Si</x:v>
      </x:c>
      <x:c r="B408" t="str">
        <x:v>Zn</x:v>
      </x:c>
      <x:c r="C408" t="str">
        <x:v>Lattice engineer</x:v>
      </x:c>
      <x:c r="D408" t="str">
        <x:v>Enzyme stabilizer</x:v>
      </x:c>
      <x:c r="E408" t="str">
        <x:v>□◉</x:v>
      </x:c>
      <x:c r="F408" t="str">
        <x:v>◎□</x:v>
      </x:c>
      <x:c r="G408" t="n">
        <x:v>18</x:v>
      </x:c>
      <x:c r="H408" t="n">
        <x:v>18</x:v>
      </x:c>
      <x:c r="I408" t="n">
        <x:v>4</x:v>
      </x:c>
      <x:c r="J408" t="n">
        <x:v>31.5</x:v>
      </x:c>
      <x:c r="K408" t="n">
        <x:v>63.5</x:v>
      </x:c>
      <x:c r="L408" t="str">
        <x:v>ASK</x:v>
      </x:c>
      <x:c r="M408" t="str">
        <x:v>□◉ + ◎□ + △ + ◎?</x:v>
      </x:c>
      <x:c r="N408" t="str">
        <x:v>Si(Lattice engineer) with Zn(Enzyme stabilizer): ASK in model.</x:v>
      </x:c>
    </x:row>
    <x:row r="409">
      <x:c r="A409" t="str">
        <x:v>Si</x:v>
      </x:c>
      <x:c r="B409" t="str">
        <x:v>Ga</x:v>
      </x:c>
      <x:c r="C409" t="str">
        <x:v>Lattice engineer</x:v>
      </x:c>
      <x:c r="D409" t="str">
        <x:v>Soft form gate</x:v>
      </x:c>
      <x:c r="E409" t="str">
        <x:v>□◉</x:v>
      </x:c>
      <x:c r="F409" t="str">
        <x:v>□↺</x:v>
      </x:c>
      <x:c r="G409" t="n">
        <x:v>18.1</x:v>
      </x:c>
      <x:c r="H409" t="n">
        <x:v>15</x:v>
      </x:c>
      <x:c r="I409" t="n">
        <x:v>5</x:v>
      </x:c>
      <x:c r="J409" t="n">
        <x:v>26.5</x:v>
      </x:c>
      <x:c r="K409" t="n">
        <x:v>54.6</x:v>
      </x:c>
      <x:c r="L409" t="str">
        <x:v>REPAIR</x:v>
      </x:c>
      <x:c r="M409" t="str">
        <x:v>□◉ + □↺ + △ + ↺</x:v>
      </x:c>
      <x:c r="N409" t="str">
        <x:v>Si(Lattice engineer) with Ga(Soft form gate): REPAIR in model.</x:v>
      </x:c>
    </x:row>
    <x:row r="410">
      <x:c r="A410" t="str">
        <x:v>Si</x:v>
      </x:c>
      <x:c r="B410" t="str">
        <x:v>Ge</x:v>
      </x:c>
      <x:c r="C410" t="str">
        <x:v>Lattice engineer</x:v>
      </x:c>
      <x:c r="D410" t="str">
        <x:v>Semi lattice</x:v>
      </x:c>
      <x:c r="E410" t="str">
        <x:v>□◉</x:v>
      </x:c>
      <x:c r="F410" t="str">
        <x:v>□◎</x:v>
      </x:c>
      <x:c r="G410" t="n">
        <x:v>18</x:v>
      </x:c>
      <x:c r="H410" t="n">
        <x:v>18</x:v>
      </x:c>
      <x:c r="I410" t="n">
        <x:v>4.5</x:v>
      </x:c>
      <x:c r="J410" t="n">
        <x:v>29</x:v>
      </x:c>
      <x:c r="K410" t="n">
        <x:v>60.5</x:v>
      </x:c>
      <x:c r="L410" t="str">
        <x:v>ASK</x:v>
      </x:c>
      <x:c r="M410" t="str">
        <x:v>□◉ + □◎ + △ + ◎?</x:v>
      </x:c>
      <x:c r="N410" t="str">
        <x:v>Si(Lattice engineer) with Ge(Semi lattice): ASK in model.</x:v>
      </x:c>
    </x:row>
    <x:row r="411">
      <x:c r="A411" t="str">
        <x:v>Si</x:v>
      </x:c>
      <x:c r="B411" t="str">
        <x:v>As</x:v>
      </x:c>
      <x:c r="C411" t="str">
        <x:v>Lattice engineer</x:v>
      </x:c>
      <x:c r="D411" t="str">
        <x:v>Shadow gate</x:v>
      </x:c>
      <x:c r="E411" t="str">
        <x:v>□◉</x:v>
      </x:c>
      <x:c r="F411" t="str">
        <x:v>∅◎</x:v>
      </x:c>
      <x:c r="G411" t="n">
        <x:v>22.3</x:v>
      </x:c>
      <x:c r="H411" t="n">
        <x:v>14</x:v>
      </x:c>
      <x:c r="I411" t="n">
        <x:v>9.5</x:v>
      </x:c>
      <x:c r="J411" t="n">
        <x:v>24</x:v>
      </x:c>
      <x:c r="K411" t="n">
        <x:v>50.8</x:v>
      </x:c>
      <x:c r="L411" t="str">
        <x:v>REPAIR</x:v>
      </x:c>
      <x:c r="M411" t="str">
        <x:v>□◉ + ∅◎ + △ + ↺</x:v>
      </x:c>
      <x:c r="N411" t="str">
        <x:v>Si(Lattice engineer) with As(Shadow gate): REPAIR in model.</x:v>
      </x:c>
    </x:row>
    <x:row r="412">
      <x:c r="A412" t="str">
        <x:v>Si</x:v>
      </x:c>
      <x:c r="B412" t="str">
        <x:v>Se</x:v>
      </x:c>
      <x:c r="C412" t="str">
        <x:v>Lattice engineer</x:v>
      </x:c>
      <x:c r="D412" t="str">
        <x:v>Trace healer</x:v>
      </x:c>
      <x:c r="E412" t="str">
        <x:v>□◉</x:v>
      </x:c>
      <x:c r="F412" t="str">
        <x:v>↺◉</x:v>
      </x:c>
      <x:c r="G412" t="n">
        <x:v>23.1</x:v>
      </x:c>
      <x:c r="H412" t="n">
        <x:v>14</x:v>
      </x:c>
      <x:c r="I412" t="n">
        <x:v>6</x:v>
      </x:c>
      <x:c r="J412" t="n">
        <x:v>27.5</x:v>
      </x:c>
      <x:c r="K412" t="n">
        <x:v>58.6</x:v>
      </x:c>
      <x:c r="L412" t="str">
        <x:v>ASK</x:v>
      </x:c>
      <x:c r="M412" t="str">
        <x:v>□◉ + ↺◉ + △ + ◎?</x:v>
      </x:c>
      <x:c r="N412" t="str">
        <x:v>Si(Lattice engineer) with Se(Trace healer): ASK in model.</x:v>
      </x:c>
    </x:row>
    <x:row r="413">
      <x:c r="A413" t="str">
        <x:v>Si</x:v>
      </x:c>
      <x:c r="B413" t="str">
        <x:v>Br</x:v>
      </x:c>
      <x:c r="C413" t="str">
        <x:v>Lattice engineer</x:v>
      </x:c>
      <x:c r="D413" t="str">
        <x:v>Heavy receiver</x:v>
      </x:c>
      <x:c r="E413" t="str">
        <x:v>□◉</x:v>
      </x:c>
      <x:c r="F413" t="str">
        <x:v>▽∅</x:v>
      </x:c>
      <x:c r="G413" t="n">
        <x:v>32.6</x:v>
      </x:c>
      <x:c r="H413" t="n">
        <x:v>10</x:v>
      </x:c>
      <x:c r="I413" t="n">
        <x:v>7.5</x:v>
      </x:c>
      <x:c r="J413" t="n">
        <x:v>26.5</x:v>
      </x:c>
      <x:c r="K413" t="n">
        <x:v>61.6</x:v>
      </x:c>
      <x:c r="L413" t="str">
        <x:v>ASK</x:v>
      </x:c>
      <x:c r="M413" t="str">
        <x:v>□◉ + ▽∅ + △ + ◎?</x:v>
      </x:c>
      <x:c r="N413" t="str">
        <x:v>Si(Lattice engineer) with Br(Heavy receiver): ASK in model.</x:v>
      </x:c>
    </x:row>
    <x:row r="414">
      <x:c r="A414" t="str">
        <x:v>Si</x:v>
      </x:c>
      <x:c r="B414" t="str">
        <x:v>Kr</x:v>
      </x:c>
      <x:c r="C414" t="str">
        <x:v>Lattice engineer</x:v>
      </x:c>
      <x:c r="D414" t="str">
        <x:v>Closed Gate light</x:v>
      </x:c>
      <x:c r="E414" t="str">
        <x:v>□◉</x:v>
      </x:c>
      <x:c r="F414" t="str">
        <x:v>◎✓</x:v>
      </x:c>
      <x:c r="G414" t="n">
        <x:v>2.1</x:v>
      </x:c>
      <x:c r="H414" t="n">
        <x:v>19</x:v>
      </x:c>
      <x:c r="I414" t="n">
        <x:v>2.5</x:v>
      </x:c>
      <x:c r="J414" t="n">
        <x:v>34.5</x:v>
      </x:c>
      <x:c r="K414" t="n">
        <x:v>53.1</x:v>
      </x:c>
      <x:c r="L414" t="str">
        <x:v>REPAIR</x:v>
      </x:c>
      <x:c r="M414" t="str">
        <x:v>□◉ + ◎✓ + △ + ↺</x:v>
      </x:c>
      <x:c r="N414" t="str">
        <x:v>Si(Lattice engineer) with Kr(Closed Gate light): REPAIR in model.</x:v>
      </x:c>
    </x:row>
    <x:row r="415">
      <x:c r="A415" t="str">
        <x:v>P</x:v>
      </x:c>
      <x:c r="B415" t="str">
        <x:v>P</x:v>
      </x:c>
      <x:c r="C415" t="str">
        <x:v>Energy memory</x:v>
      </x:c>
      <x:c r="D415" t="str">
        <x:v>Energy memory</x:v>
      </x:c>
      <x:c r="E415" t="str">
        <x:v>◉△</x:v>
      </x:c>
      <x:c r="F415" t="str">
        <x:v>◉△</x:v>
      </x:c>
      <x:c r="G415" t="n">
        <x:v>42.3</x:v>
      </x:c>
      <x:c r="H415" t="n">
        <x:v>20</x:v>
      </x:c>
      <x:c r="I415" t="n">
        <x:v>8</x:v>
      </x:c>
      <x:c r="J415" t="n">
        <x:v>25</x:v>
      </x:c>
      <x:c r="K415" t="n">
        <x:v>79.3</x:v>
      </x:c>
      <x:c r="L415" t="str">
        <x:v>OPEN</x:v>
      </x:c>
      <x:c r="M415" t="str">
        <x:v>◉△ + ◉△ + △ + ◎✓</x:v>
      </x:c>
      <x:c r="N415" t="str">
        <x:v>P(Energy memory) with P(Energy memory): OPEN in model.</x:v>
      </x:c>
    </x:row>
    <x:row r="416">
      <x:c r="A416" t="str">
        <x:v>P</x:v>
      </x:c>
      <x:c r="B416" t="str">
        <x:v>S</x:v>
      </x:c>
      <x:c r="C416" t="str">
        <x:v>Energy memory</x:v>
      </x:c>
      <x:c r="D416" t="str">
        <x:v>Connector phase</x:v>
      </x:c>
      <x:c r="E416" t="str">
        <x:v>◉△</x:v>
      </x:c>
      <x:c r="F416" t="str">
        <x:v>↺▽</x:v>
      </x:c>
      <x:c r="G416" t="n">
        <x:v>40.6</x:v>
      </x:c>
      <x:c r="H416" t="n">
        <x:v>19</x:v>
      </x:c>
      <x:c r="I416" t="n">
        <x:v>7.5</x:v>
      </x:c>
      <x:c r="J416" t="n">
        <x:v>24.5</x:v>
      </x:c>
      <x:c r="K416" t="n">
        <x:v>76.6</x:v>
      </x:c>
      <x:c r="L416" t="str">
        <x:v>OPEN</x:v>
      </x:c>
      <x:c r="M416" t="str">
        <x:v>◉△ + ↺▽ + △ + ◎✓</x:v>
      </x:c>
      <x:c r="N416" t="str">
        <x:v>P(Energy memory) with S(Connector phase): OPEN in model.</x:v>
      </x:c>
    </x:row>
    <x:row r="417">
      <x:c r="A417" t="str">
        <x:v>P</x:v>
      </x:c>
      <x:c r="B417" t="str">
        <x:v>Cl</x:v>
      </x:c>
      <x:c r="C417" t="str">
        <x:v>Energy memory</x:v>
      </x:c>
      <x:c r="D417" t="str">
        <x:v>Receiver closure</x:v>
      </x:c>
      <x:c r="E417" t="str">
        <x:v>◉△</x:v>
      </x:c>
      <x:c r="F417" t="str">
        <x:v>▽◎</x:v>
      </x:c>
      <x:c r="G417" t="n">
        <x:v>53.6</x:v>
      </x:c>
      <x:c r="H417" t="n">
        <x:v>16</x:v>
      </x:c>
      <x:c r="I417" t="n">
        <x:v>8.5</x:v>
      </x:c>
      <x:c r="J417" t="n">
        <x:v>25.5</x:v>
      </x:c>
      <x:c r="K417" t="n">
        <x:v>86.6</x:v>
      </x:c>
      <x:c r="L417" t="str">
        <x:v>OPEN</x:v>
      </x:c>
      <x:c r="M417" t="str">
        <x:v>◉△ + ▽◎ + △ + ◎✓</x:v>
      </x:c>
      <x:c r="N417" t="str">
        <x:v>P(Energy memory) with Cl(Receiver closure): OPEN in model.</x:v>
      </x:c>
    </x:row>
    <x:row r="418">
      <x:c r="A418" t="str">
        <x:v>P</x:v>
      </x:c>
      <x:c r="B418" t="str">
        <x:v>Ar</x:v>
      </x:c>
      <x:c r="C418" t="str">
        <x:v>Energy memory</x:v>
      </x:c>
      <x:c r="D418" t="str">
        <x:v>Closed Gate</x:v>
      </x:c>
      <x:c r="E418" t="str">
        <x:v>◉△</x:v>
      </x:c>
      <x:c r="F418" t="str">
        <x:v>◎✓</x:v>
      </x:c>
      <x:c r="G418" t="n">
        <x:v>3.2</x:v>
      </x:c>
      <x:c r="H418" t="n">
        <x:v>14</x:v>
      </x:c>
      <x:c r="I418" t="n">
        <x:v>4.5</x:v>
      </x:c>
      <x:c r="J418" t="n">
        <x:v>32</x:v>
      </x:c>
      <x:c r="K418" t="n">
        <x:v>44.7</x:v>
      </x:c>
      <x:c r="L418" t="str">
        <x:v>REPAIR</x:v>
      </x:c>
      <x:c r="M418" t="str">
        <x:v>◉△ + ◎✓ + △ + ↺</x:v>
      </x:c>
      <x:c r="N418" t="str">
        <x:v>P(Energy memory) with Ar(Closed Gate): REPAIR in model.</x:v>
      </x:c>
    </x:row>
    <x:row r="419">
      <x:c r="A419" t="str">
        <x:v>P</x:v>
      </x:c>
      <x:c r="B419" t="str">
        <x:v>K</x:v>
      </x:c>
      <x:c r="C419" t="str">
        <x:v>Energy memory</x:v>
      </x:c>
      <x:c r="D419" t="str">
        <x:v>Heavy opener</x:v>
      </x:c>
      <x:c r="E419" t="str">
        <x:v>◉△</x:v>
      </x:c>
      <x:c r="F419" t="str">
        <x:v>△ᛏ</x:v>
      </x:c>
      <x:c r="G419" t="n">
        <x:v>34.1</x:v>
      </x:c>
      <x:c r="H419" t="n">
        <x:v>14</x:v>
      </x:c>
      <x:c r="I419" t="n">
        <x:v>10.5</x:v>
      </x:c>
      <x:c r="J419" t="n">
        <x:v>17.5</x:v>
      </x:c>
      <x:c r="K419" t="n">
        <x:v>55.1</x:v>
      </x:c>
      <x:c r="L419" t="str">
        <x:v>REPAIR</x:v>
      </x:c>
      <x:c r="M419" t="str">
        <x:v>◉△ + △ᛏ + △ + ↺</x:v>
      </x:c>
      <x:c r="N419" t="str">
        <x:v>P(Energy memory) with K(Heavy opener): REPAIR in model.</x:v>
      </x:c>
    </x:row>
    <x:row r="420">
      <x:c r="A420" t="str">
        <x:v>P</x:v>
      </x:c>
      <x:c r="B420" t="str">
        <x:v>Ca</x:v>
      </x:c>
      <x:c r="C420" t="str">
        <x:v>Energy memory</x:v>
      </x:c>
      <x:c r="D420" t="str">
        <x:v>Tank structure</x:v>
      </x:c>
      <x:c r="E420" t="str">
        <x:v>◉△</x:v>
      </x:c>
      <x:c r="F420" t="str">
        <x:v>ᛉ□</x:v>
      </x:c>
      <x:c r="G420" t="n">
        <x:v>27.6</x:v>
      </x:c>
      <x:c r="H420" t="n">
        <x:v>16</x:v>
      </x:c>
      <x:c r="I420" t="n">
        <x:v>7</x:v>
      </x:c>
      <x:c r="J420" t="n">
        <x:v>25</x:v>
      </x:c>
      <x:c r="K420" t="n">
        <x:v>61.6</x:v>
      </x:c>
      <x:c r="L420" t="str">
        <x:v>ASK</x:v>
      </x:c>
      <x:c r="M420" t="str">
        <x:v>◉△ + ᛉ□ + △ + ◎?</x:v>
      </x:c>
      <x:c r="N420" t="str">
        <x:v>P(Energy memory) with Ca(Tank structure): ASK in model.</x:v>
      </x:c>
    </x:row>
    <x:row r="421">
      <x:c r="A421" t="str">
        <x:v>P</x:v>
      </x:c>
      <x:c r="B421" t="str">
        <x:v>Sc</x:v>
      </x:c>
      <x:c r="C421" t="str">
        <x:v>Energy memory</x:v>
      </x:c>
      <x:c r="D421" t="str">
        <x:v>Transition bridge</x:v>
      </x:c>
      <x:c r="E421" t="str">
        <x:v>◉△</x:v>
      </x:c>
      <x:c r="F421" t="str">
        <x:v>↺□</x:v>
      </x:c>
      <x:c r="G421" t="n">
        <x:v>29.2</x:v>
      </x:c>
      <x:c r="H421" t="n">
        <x:v>17</x:v>
      </x:c>
      <x:c r="I421" t="n">
        <x:v>7</x:v>
      </x:c>
      <x:c r="J421" t="n">
        <x:v>24.5</x:v>
      </x:c>
      <x:c r="K421" t="n">
        <x:v>63.7</x:v>
      </x:c>
      <x:c r="L421" t="str">
        <x:v>ASK</x:v>
      </x:c>
      <x:c r="M421" t="str">
        <x:v>◉△ + ↺□ + △ + ◎?</x:v>
      </x:c>
      <x:c r="N421" t="str">
        <x:v>P(Energy memory) with Sc(Transition bridge): ASK in model.</x:v>
      </x:c>
    </x:row>
    <x:row r="422">
      <x:c r="A422" t="str">
        <x:v>P</x:v>
      </x:c>
      <x:c r="B422" t="str">
        <x:v>Ti</x:v>
      </x:c>
      <x:c r="C422" t="str">
        <x:v>Energy memory</x:v>
      </x:c>
      <x:c r="D422" t="str">
        <x:v>Strong structure</x:v>
      </x:c>
      <x:c r="E422" t="str">
        <x:v>◉△</x:v>
      </x:c>
      <x:c r="F422" t="str">
        <x:v>ᛉ□</x:v>
      </x:c>
      <x:c r="G422" t="n">
        <x:v>29.2</x:v>
      </x:c>
      <x:c r="H422" t="n">
        <x:v>14</x:v>
      </x:c>
      <x:c r="I422" t="n">
        <x:v>6</x:v>
      </x:c>
      <x:c r="J422" t="n">
        <x:v>27.5</x:v>
      </x:c>
      <x:c r="K422" t="n">
        <x:v>64.7</x:v>
      </x:c>
      <x:c r="L422" t="str">
        <x:v>ASK</x:v>
      </x:c>
      <x:c r="M422" t="str">
        <x:v>◉△ + ᛉ□ + △ + ◎?</x:v>
      </x:c>
      <x:c r="N422" t="str">
        <x:v>P(Energy memory) with Ti(Strong structure): ASK in model.</x:v>
      </x:c>
    </x:row>
    <x:row r="423">
      <x:c r="A423" t="str">
        <x:v>P</x:v>
      </x:c>
      <x:c r="B423" t="str">
        <x:v>V</x:v>
      </x:c>
      <x:c r="C423" t="str">
        <x:v>Energy memory</x:v>
      </x:c>
      <x:c r="D423" t="str">
        <x:v>Multi-state gate</x:v>
      </x:c>
      <x:c r="E423" t="str">
        <x:v>◉△</x:v>
      </x:c>
      <x:c r="F423" t="str">
        <x:v>◎↺</x:v>
      </x:c>
      <x:c r="G423" t="n">
        <x:v>35.8</x:v>
      </x:c>
      <x:c r="H423" t="n">
        <x:v>17</x:v>
      </x:c>
      <x:c r="I423" t="n">
        <x:v>8.5</x:v>
      </x:c>
      <x:c r="J423" t="n">
        <x:v>25</x:v>
      </x:c>
      <x:c r="K423" t="n">
        <x:v>69.3</x:v>
      </x:c>
      <x:c r="L423" t="str">
        <x:v>ASK</x:v>
      </x:c>
      <x:c r="M423" t="str">
        <x:v>◉△ + ◎↺ + △ + ◎?</x:v>
      </x:c>
      <x:c r="N423" t="str">
        <x:v>P(Energy memory) with V(Multi-state gate): ASK in model.</x:v>
      </x:c>
    </x:row>
    <x:row r="424">
      <x:c r="A424" t="str">
        <x:v>P</x:v>
      </x:c>
      <x:c r="B424" t="str">
        <x:v>Cr</x:v>
      </x:c>
      <x:c r="C424" t="str">
        <x:v>Energy memory</x:v>
      </x:c>
      <x:c r="D424" t="str">
        <x:v>Surface guardian</x:v>
      </x:c>
      <x:c r="E424" t="str">
        <x:v>◉△</x:v>
      </x:c>
      <x:c r="F424" t="str">
        <x:v>ᛉ◎</x:v>
      </x:c>
      <x:c r="G424" t="n">
        <x:v>34.1</x:v>
      </x:c>
      <x:c r="H424" t="n">
        <x:v>15</x:v>
      </x:c>
      <x:c r="I424" t="n">
        <x:v>7.5</x:v>
      </x:c>
      <x:c r="J424" t="n">
        <x:v>27.5</x:v>
      </x:c>
      <x:c r="K424" t="n">
        <x:v>69.1</x:v>
      </x:c>
      <x:c r="L424" t="str">
        <x:v>ASK</x:v>
      </x:c>
      <x:c r="M424" t="str">
        <x:v>◉△ + ᛉ◎ + △ + ◎?</x:v>
      </x:c>
      <x:c r="N424" t="str">
        <x:v>P(Energy memory) with Cr(Surface guardian): ASK in model.</x:v>
      </x:c>
    </x:row>
    <x:row r="425">
      <x:c r="A425" t="str">
        <x:v>P</x:v>
      </x:c>
      <x:c r="B425" t="str">
        <x:v>Mn</x:v>
      </x:c>
      <x:c r="C425" t="str">
        <x:v>Energy memory</x:v>
      </x:c>
      <x:c r="D425" t="str">
        <x:v>Redox archer</x:v>
      </x:c>
      <x:c r="E425" t="str">
        <x:v>◉△</x:v>
      </x:c>
      <x:c r="F425" t="str">
        <x:v>ᛏ↺</x:v>
      </x:c>
      <x:c r="G425" t="n">
        <x:v>42.3</x:v>
      </x:c>
      <x:c r="H425" t="n">
        <x:v>19</x:v>
      </x:c>
      <x:c r="I425" t="n">
        <x:v>9.5</x:v>
      </x:c>
      <x:c r="J425" t="n">
        <x:v>23.5</x:v>
      </x:c>
      <x:c r="K425" t="n">
        <x:v>75.3</x:v>
      </x:c>
      <x:c r="L425" t="str">
        <x:v>OPEN</x:v>
      </x:c>
      <x:c r="M425" t="str">
        <x:v>◉△ + ᛏ↺ + △ + ◎✓</x:v>
      </x:c>
      <x:c r="N425" t="str">
        <x:v>P(Energy memory) with Mn(Redox archer): OPEN in model.</x:v>
      </x:c>
    </x:row>
    <x:row r="426">
      <x:c r="A426" t="str">
        <x:v>P</x:v>
      </x:c>
      <x:c r="B426" t="str">
        <x:v>Fe</x:v>
      </x:c>
      <x:c r="C426" t="str">
        <x:v>Energy memory</x:v>
      </x:c>
      <x:c r="D426" t="str">
        <x:v>Tank memory</x:v>
      </x:c>
      <x:c r="E426" t="str">
        <x:v>◉△</x:v>
      </x:c>
      <x:c r="F426" t="str">
        <x:v>ᛉ◉</x:v>
      </x:c>
      <x:c r="G426" t="n">
        <x:v>39</x:v>
      </x:c>
      <x:c r="H426" t="n">
        <x:v>14</x:v>
      </x:c>
      <x:c r="I426" t="n">
        <x:v>7.5</x:v>
      </x:c>
      <x:c r="J426" t="n">
        <x:v>26.5</x:v>
      </x:c>
      <x:c r="K426" t="n">
        <x:v>72</x:v>
      </x:c>
      <x:c r="L426" t="str">
        <x:v>ASK</x:v>
      </x:c>
      <x:c r="M426" t="str">
        <x:v>◉△ + ᛉ◉ + △ + ◎?</x:v>
      </x:c>
      <x:c r="N426" t="str">
        <x:v>P(Energy memory) with Fe(Tank memory): ASK in model.</x:v>
      </x:c>
    </x:row>
    <x:row r="427">
      <x:c r="A427" t="str">
        <x:v>P</x:v>
      </x:c>
      <x:c r="B427" t="str">
        <x:v>Co</x:v>
      </x:c>
      <x:c r="C427" t="str">
        <x:v>Energy memory</x:v>
      </x:c>
      <x:c r="D427" t="str">
        <x:v>Magnetic bridge</x:v>
      </x:c>
      <x:c r="E427" t="str">
        <x:v>◉△</x:v>
      </x:c>
      <x:c r="F427" t="str">
        <x:v>◉ᛉ</x:v>
      </x:c>
      <x:c r="G427" t="n">
        <x:v>35.8</x:v>
      </x:c>
      <x:c r="H427" t="n">
        <x:v>15</x:v>
      </x:c>
      <x:c r="I427" t="n">
        <x:v>7.5</x:v>
      </x:c>
      <x:c r="J427" t="n">
        <x:v>26</x:v>
      </x:c>
      <x:c r="K427" t="n">
        <x:v>69.3</x:v>
      </x:c>
      <x:c r="L427" t="str">
        <x:v>ASK</x:v>
      </x:c>
      <x:c r="M427" t="str">
        <x:v>◉△ + ◉ᛉ + △ + ◎?</x:v>
      </x:c>
      <x:c r="N427" t="str">
        <x:v>P(Energy memory) with Co(Magnetic bridge): ASK in model.</x:v>
      </x:c>
    </x:row>
    <x:row r="428">
      <x:c r="A428" t="str">
        <x:v>P</x:v>
      </x:c>
      <x:c r="B428" t="str">
        <x:v>Ni</x:v>
      </x:c>
      <x:c r="C428" t="str">
        <x:v>Energy memory</x:v>
      </x:c>
      <x:c r="D428" t="str">
        <x:v>Catalytic guard</x:v>
      </x:c>
      <x:c r="E428" t="str">
        <x:v>◉△</x:v>
      </x:c>
      <x:c r="F428" t="str">
        <x:v>◎↺</x:v>
      </x:c>
      <x:c r="G428" t="n">
        <x:v>35.8</x:v>
      </x:c>
      <x:c r="H428" t="n">
        <x:v>15</x:v>
      </x:c>
      <x:c r="I428" t="n">
        <x:v>7</x:v>
      </x:c>
      <x:c r="J428" t="n">
        <x:v>27</x:v>
      </x:c>
      <x:c r="K428" t="n">
        <x:v>70.8</x:v>
      </x:c>
      <x:c r="L428" t="str">
        <x:v>ASK</x:v>
      </x:c>
      <x:c r="M428" t="str">
        <x:v>◉△ + ◎↺ + △ + ◎?</x:v>
      </x:c>
      <x:c r="N428" t="str">
        <x:v>P(Energy memory) with Ni(Catalytic guard): ASK in model.</x:v>
      </x:c>
    </x:row>
    <x:row r="429">
      <x:c r="A429" t="str">
        <x:v>P</x:v>
      </x:c>
      <x:c r="B429" t="str">
        <x:v>Cu</x:v>
      </x:c>
      <x:c r="C429" t="str">
        <x:v>Energy memory</x:v>
      </x:c>
      <x:c r="D429" t="str">
        <x:v>Conductor flow</x:v>
      </x:c>
      <x:c r="E429" t="str">
        <x:v>◉△</x:v>
      </x:c>
      <x:c r="F429" t="str">
        <x:v>↺ᛏ</x:v>
      </x:c>
      <x:c r="G429" t="n">
        <x:v>37.4</x:v>
      </x:c>
      <x:c r="H429" t="n">
        <x:v>17</x:v>
      </x:c>
      <x:c r="I429" t="n">
        <x:v>6.5</x:v>
      </x:c>
      <x:c r="J429" t="n">
        <x:v>26</x:v>
      </x:c>
      <x:c r="K429" t="n">
        <x:v>73.9</x:v>
      </x:c>
      <x:c r="L429" t="str">
        <x:v>ASK</x:v>
      </x:c>
      <x:c r="M429" t="str">
        <x:v>◉△ + ↺ᛏ + △ + ◎?</x:v>
      </x:c>
      <x:c r="N429" t="str">
        <x:v>P(Energy memory) with Cu(Conductor flow): ASK in model.</x:v>
      </x:c>
    </x:row>
    <x:row r="430">
      <x:c r="A430" t="str">
        <x:v>P</x:v>
      </x:c>
      <x:c r="B430" t="str">
        <x:v>Zn</x:v>
      </x:c>
      <x:c r="C430" t="str">
        <x:v>Energy memory</x:v>
      </x:c>
      <x:c r="D430" t="str">
        <x:v>Enzyme stabilizer</x:v>
      </x:c>
      <x:c r="E430" t="str">
        <x:v>◉△</x:v>
      </x:c>
      <x:c r="F430" t="str">
        <x:v>◎□</x:v>
      </x:c>
      <x:c r="G430" t="n">
        <x:v>27.6</x:v>
      </x:c>
      <x:c r="H430" t="n">
        <x:v>15</x:v>
      </x:c>
      <x:c r="I430" t="n">
        <x:v>6</x:v>
      </x:c>
      <x:c r="J430" t="n">
        <x:v>29</x:v>
      </x:c>
      <x:c r="K430" t="n">
        <x:v>65.6</x:v>
      </x:c>
      <x:c r="L430" t="str">
        <x:v>ASK</x:v>
      </x:c>
      <x:c r="M430" t="str">
        <x:v>◉△ + ◎□ + △ + ◎?</x:v>
      </x:c>
      <x:c r="N430" t="str">
        <x:v>P(Energy memory) with Zn(Enzyme stabilizer): ASK in model.</x:v>
      </x:c>
    </x:row>
    <x:row r="431">
      <x:c r="A431" t="str">
        <x:v>P</x:v>
      </x:c>
      <x:c r="B431" t="str">
        <x:v>Ga</x:v>
      </x:c>
      <x:c r="C431" t="str">
        <x:v>Energy memory</x:v>
      </x:c>
      <x:c r="D431" t="str">
        <x:v>Soft form gate</x:v>
      </x:c>
      <x:c r="E431" t="str">
        <x:v>◉△</x:v>
      </x:c>
      <x:c r="F431" t="str">
        <x:v>□↺</x:v>
      </x:c>
      <x:c r="G431" t="n">
        <x:v>27.6</x:v>
      </x:c>
      <x:c r="H431" t="n">
        <x:v>18</x:v>
      </x:c>
      <x:c r="I431" t="n">
        <x:v>7</x:v>
      </x:c>
      <x:c r="J431" t="n">
        <x:v>24</x:v>
      </x:c>
      <x:c r="K431" t="n">
        <x:v>62.6</x:v>
      </x:c>
      <x:c r="L431" t="str">
        <x:v>ASK</x:v>
      </x:c>
      <x:c r="M431" t="str">
        <x:v>◉△ + □↺ + △ + ◎?</x:v>
      </x:c>
      <x:c r="N431" t="str">
        <x:v>P(Energy memory) with Ga(Soft form gate): ASK in model.</x:v>
      </x:c>
    </x:row>
    <x:row r="432">
      <x:c r="A432" t="str">
        <x:v>P</x:v>
      </x:c>
      <x:c r="B432" t="str">
        <x:v>Ge</x:v>
      </x:c>
      <x:c r="C432" t="str">
        <x:v>Energy memory</x:v>
      </x:c>
      <x:c r="D432" t="str">
        <x:v>Semi lattice</x:v>
      </x:c>
      <x:c r="E432" t="str">
        <x:v>◉△</x:v>
      </x:c>
      <x:c r="F432" t="str">
        <x:v>□◎</x:v>
      </x:c>
      <x:c r="G432" t="n">
        <x:v>27.6</x:v>
      </x:c>
      <x:c r="H432" t="n">
        <x:v>15</x:v>
      </x:c>
      <x:c r="I432" t="n">
        <x:v>6.5</x:v>
      </x:c>
      <x:c r="J432" t="n">
        <x:v>26.5</x:v>
      </x:c>
      <x:c r="K432" t="n">
        <x:v>62.6</x:v>
      </x:c>
      <x:c r="L432" t="str">
        <x:v>ASK</x:v>
      </x:c>
      <x:c r="M432" t="str">
        <x:v>◉△ + □◎ + △ + ◎?</x:v>
      </x:c>
      <x:c r="N432" t="str">
        <x:v>P(Energy memory) with Ge(Semi lattice): ASK in model.</x:v>
      </x:c>
    </x:row>
    <x:row r="433">
      <x:c r="A433" t="str">
        <x:v>P</x:v>
      </x:c>
      <x:c r="B433" t="str">
        <x:v>As</x:v>
      </x:c>
      <x:c r="C433" t="str">
        <x:v>Energy memory</x:v>
      </x:c>
      <x:c r="D433" t="str">
        <x:v>Shadow gate</x:v>
      </x:c>
      <x:c r="E433" t="str">
        <x:v>◉△</x:v>
      </x:c>
      <x:c r="F433" t="str">
        <x:v>∅◎</x:v>
      </x:c>
      <x:c r="G433" t="n">
        <x:v>34.1</x:v>
      </x:c>
      <x:c r="H433" t="n">
        <x:v>19</x:v>
      </x:c>
      <x:c r="I433" t="n">
        <x:v>11.5</x:v>
      </x:c>
      <x:c r="J433" t="n">
        <x:v>21.5</x:v>
      </x:c>
      <x:c r="K433" t="n">
        <x:v>63.1</x:v>
      </x:c>
      <x:c r="L433" t="str">
        <x:v>ASK</x:v>
      </x:c>
      <x:c r="M433" t="str">
        <x:v>◉△ + ∅◎ + △ + ◎?</x:v>
      </x:c>
      <x:c r="N433" t="str">
        <x:v>P(Energy memory) with As(Shadow gate): ASK in model.</x:v>
      </x:c>
    </x:row>
    <x:row r="434">
      <x:c r="A434" t="str">
        <x:v>P</x:v>
      </x:c>
      <x:c r="B434" t="str">
        <x:v>Se</x:v>
      </x:c>
      <x:c r="C434" t="str">
        <x:v>Energy memory</x:v>
      </x:c>
      <x:c r="D434" t="str">
        <x:v>Trace healer</x:v>
      </x:c>
      <x:c r="E434" t="str">
        <x:v>◉△</x:v>
      </x:c>
      <x:c r="F434" t="str">
        <x:v>↺◉</x:v>
      </x:c>
      <x:c r="G434" t="n">
        <x:v>35.8</x:v>
      </x:c>
      <x:c r="H434" t="n">
        <x:v>19</x:v>
      </x:c>
      <x:c r="I434" t="n">
        <x:v>8</x:v>
      </x:c>
      <x:c r="J434" t="n">
        <x:v>25</x:v>
      </x:c>
      <x:c r="K434" t="n">
        <x:v>71.8</x:v>
      </x:c>
      <x:c r="L434" t="str">
        <x:v>ASK</x:v>
      </x:c>
      <x:c r="M434" t="str">
        <x:v>◉△ + ↺◉ + △ + ◎?</x:v>
      </x:c>
      <x:c r="N434" t="str">
        <x:v>P(Energy memory) with Se(Trace healer): ASK in model.</x:v>
      </x:c>
    </x:row>
    <x:row r="435">
      <x:c r="A435" t="str">
        <x:v>P</x:v>
      </x:c>
      <x:c r="B435" t="str">
        <x:v>Br</x:v>
      </x:c>
      <x:c r="C435" t="str">
        <x:v>Energy memory</x:v>
      </x:c>
      <x:c r="D435" t="str">
        <x:v>Heavy receiver</x:v>
      </x:c>
      <x:c r="E435" t="str">
        <x:v>◉△</x:v>
      </x:c>
      <x:c r="F435" t="str">
        <x:v>▽∅</x:v>
      </x:c>
      <x:c r="G435" t="n">
        <x:v>50.4</x:v>
      </x:c>
      <x:c r="H435" t="n">
        <x:v>17</x:v>
      </x:c>
      <x:c r="I435" t="n">
        <x:v>9.5</x:v>
      </x:c>
      <x:c r="J435" t="n">
        <x:v>24</x:v>
      </x:c>
      <x:c r="K435" t="n">
        <x:v>81.9</x:v>
      </x:c>
      <x:c r="L435" t="str">
        <x:v>OPEN</x:v>
      </x:c>
      <x:c r="M435" t="str">
        <x:v>◉△ + ▽∅ + △ + ◎✓</x:v>
      </x:c>
      <x:c r="N435" t="str">
        <x:v>P(Energy memory) with Br(Heavy receiver): OPEN in model.</x:v>
      </x:c>
    </x:row>
    <x:row r="436">
      <x:c r="A436" t="str">
        <x:v>P</x:v>
      </x:c>
      <x:c r="B436" t="str">
        <x:v>Kr</x:v>
      </x:c>
      <x:c r="C436" t="str">
        <x:v>Energy memory</x:v>
      </x:c>
      <x:c r="D436" t="str">
        <x:v>Closed Gate light</x:v>
      </x:c>
      <x:c r="E436" t="str">
        <x:v>◉△</x:v>
      </x:c>
      <x:c r="F436" t="str">
        <x:v>◎✓</x:v>
      </x:c>
      <x:c r="G436" t="n">
        <x:v>3.2</x:v>
      </x:c>
      <x:c r="H436" t="n">
        <x:v>14</x:v>
      </x:c>
      <x:c r="I436" t="n">
        <x:v>4.5</x:v>
      </x:c>
      <x:c r="J436" t="n">
        <x:v>32</x:v>
      </x:c>
      <x:c r="K436" t="n">
        <x:v>44.7</x:v>
      </x:c>
      <x:c r="L436" t="str">
        <x:v>REPAIR</x:v>
      </x:c>
      <x:c r="M436" t="str">
        <x:v>◉△ + ◎✓ + △ + ↺</x:v>
      </x:c>
      <x:c r="N436" t="str">
        <x:v>P(Energy memory) with Kr(Closed Gate light): REPAIR in model.</x:v>
      </x:c>
    </x:row>
    <x:row r="437">
      <x:c r="A437" t="str">
        <x:v>S</x:v>
      </x:c>
      <x:c r="B437" t="str">
        <x:v>S</x:v>
      </x:c>
      <x:c r="C437" t="str">
        <x:v>Connector phase</x:v>
      </x:c>
      <x:c r="D437" t="str">
        <x:v>Connector phase</x:v>
      </x:c>
      <x:c r="E437" t="str">
        <x:v>↺▽</x:v>
      </x:c>
      <x:c r="F437" t="str">
        <x:v>↺▽</x:v>
      </x:c>
      <x:c r="G437" t="n">
        <x:v>38.5</x:v>
      </x:c>
      <x:c r="H437" t="n">
        <x:v>20</x:v>
      </x:c>
      <x:c r="I437" t="n">
        <x:v>7</x:v>
      </x:c>
      <x:c r="J437" t="n">
        <x:v>24</x:v>
      </x:c>
      <x:c r="K437" t="n">
        <x:v>75.5</x:v>
      </x:c>
      <x:c r="L437" t="str">
        <x:v>OPEN</x:v>
      </x:c>
      <x:c r="M437" t="str">
        <x:v>↺▽ + ↺▽ + △ + ◎✓</x:v>
      </x:c>
      <x:c r="N437" t="str">
        <x:v>S(Connector phase) with S(Connector phase): OPEN in model.</x:v>
      </x:c>
    </x:row>
    <x:row r="438">
      <x:c r="A438" t="str">
        <x:v>S</x:v>
      </x:c>
      <x:c r="B438" t="str">
        <x:v>Cl</x:v>
      </x:c>
      <x:c r="C438" t="str">
        <x:v>Connector phase</x:v>
      </x:c>
      <x:c r="D438" t="str">
        <x:v>Receiver closure</x:v>
      </x:c>
      <x:c r="E438" t="str">
        <x:v>↺▽</x:v>
      </x:c>
      <x:c r="F438" t="str">
        <x:v>▽◎</x:v>
      </x:c>
      <x:c r="G438" t="n">
        <x:v>50.6</x:v>
      </x:c>
      <x:c r="H438" t="n">
        <x:v>15</x:v>
      </x:c>
      <x:c r="I438" t="n">
        <x:v>8</x:v>
      </x:c>
      <x:c r="J438" t="n">
        <x:v>25</x:v>
      </x:c>
      <x:c r="K438" t="n">
        <x:v>82.6</x:v>
      </x:c>
      <x:c r="L438" t="str">
        <x:v>OPEN</x:v>
      </x:c>
      <x:c r="M438" t="str">
        <x:v>↺▽ + ▽◎ + △ + ◎✓</x:v>
      </x:c>
      <x:c r="N438" t="str">
        <x:v>S(Connector phase) with Cl(Receiver closure): OPEN in model.</x:v>
      </x:c>
    </x:row>
    <x:row r="439">
      <x:c r="A439" t="str">
        <x:v>S</x:v>
      </x:c>
      <x:c r="B439" t="str">
        <x:v>Ar</x:v>
      </x:c>
      <x:c r="C439" t="str">
        <x:v>Connector phase</x:v>
      </x:c>
      <x:c r="D439" t="str">
        <x:v>Closed Gate</x:v>
      </x:c>
      <x:c r="E439" t="str">
        <x:v>↺▽</x:v>
      </x:c>
      <x:c r="F439" t="str">
        <x:v>◎✓</x:v>
      </x:c>
      <x:c r="G439" t="n">
        <x:v>3.1</x:v>
      </x:c>
      <x:c r="H439" t="n">
        <x:v>15</x:v>
      </x:c>
      <x:c r="I439" t="n">
        <x:v>4</x:v>
      </x:c>
      <x:c r="J439" t="n">
        <x:v>31.5</x:v>
      </x:c>
      <x:c r="K439" t="n">
        <x:v>45.6</x:v>
      </x:c>
      <x:c r="L439" t="str">
        <x:v>REPAIR</x:v>
      </x:c>
      <x:c r="M439" t="str">
        <x:v>↺▽ + ◎✓ + △ + ↺</x:v>
      </x:c>
      <x:c r="N439" t="str">
        <x:v>S(Connector phase) with Ar(Closed Gate): REPAIR in model.</x:v>
      </x:c>
    </x:row>
    <x:row r="440">
      <x:c r="A440" t="str">
        <x:v>S</x:v>
      </x:c>
      <x:c r="B440" t="str">
        <x:v>K</x:v>
      </x:c>
      <x:c r="C440" t="str">
        <x:v>Connector phase</x:v>
      </x:c>
      <x:c r="D440" t="str">
        <x:v>Heavy opener</x:v>
      </x:c>
      <x:c r="E440" t="str">
        <x:v>↺▽</x:v>
      </x:c>
      <x:c r="F440" t="str">
        <x:v>△ᛏ</x:v>
      </x:c>
      <x:c r="G440" t="n">
        <x:v>36</x:v>
      </x:c>
      <x:c r="H440" t="n">
        <x:v>13</x:v>
      </x:c>
      <x:c r="I440" t="n">
        <x:v>10</x:v>
      </x:c>
      <x:c r="J440" t="n">
        <x:v>17</x:v>
      </x:c>
      <x:c r="K440" t="n">
        <x:v>56</x:v>
      </x:c>
      <x:c r="L440" t="str">
        <x:v>REPAIR</x:v>
      </x:c>
      <x:c r="M440" t="str">
        <x:v>↺▽ + △ᛏ + △ + ↺</x:v>
      </x:c>
      <x:c r="N440" t="str">
        <x:v>S(Connector phase) with K(Heavy opener): REPAIR in model.</x:v>
      </x:c>
    </x:row>
    <x:row r="441">
      <x:c r="A441" t="str">
        <x:v>S</x:v>
      </x:c>
      <x:c r="B441" t="str">
        <x:v>Ca</x:v>
      </x:c>
      <x:c r="C441" t="str">
        <x:v>Connector phase</x:v>
      </x:c>
      <x:c r="D441" t="str">
        <x:v>Tank structure</x:v>
      </x:c>
      <x:c r="E441" t="str">
        <x:v>↺▽</x:v>
      </x:c>
      <x:c r="F441" t="str">
        <x:v>ᛉ□</x:v>
      </x:c>
      <x:c r="G441" t="n">
        <x:v>27.9</x:v>
      </x:c>
      <x:c r="H441" t="n">
        <x:v>17</x:v>
      </x:c>
      <x:c r="I441" t="n">
        <x:v>6.5</x:v>
      </x:c>
      <x:c r="J441" t="n">
        <x:v>24.5</x:v>
      </x:c>
      <x:c r="K441" t="n">
        <x:v>62.9</x:v>
      </x:c>
      <x:c r="L441" t="str">
        <x:v>ASK</x:v>
      </x:c>
      <x:c r="M441" t="str">
        <x:v>↺▽ + ᛉ□ + △ + ◎?</x:v>
      </x:c>
      <x:c r="N441" t="str">
        <x:v>S(Connector phase) with Ca(Tank structure): ASK in model.</x:v>
      </x:c>
    </x:row>
    <x:row r="442">
      <x:c r="A442" t="str">
        <x:v>S</x:v>
      </x:c>
      <x:c r="B442" t="str">
        <x:v>Sc</x:v>
      </x:c>
      <x:c r="C442" t="str">
        <x:v>Connector phase</x:v>
      </x:c>
      <x:c r="D442" t="str">
        <x:v>Transition bridge</x:v>
      </x:c>
      <x:c r="E442" t="str">
        <x:v>↺▽</x:v>
      </x:c>
      <x:c r="F442" t="str">
        <x:v>↺□</x:v>
      </x:c>
      <x:c r="G442" t="n">
        <x:v>28.9</x:v>
      </x:c>
      <x:c r="H442" t="n">
        <x:v>18</x:v>
      </x:c>
      <x:c r="I442" t="n">
        <x:v>6.5</x:v>
      </x:c>
      <x:c r="J442" t="n">
        <x:v>24</x:v>
      </x:c>
      <x:c r="K442" t="n">
        <x:v>64.4</x:v>
      </x:c>
      <x:c r="L442" t="str">
        <x:v>ASK</x:v>
      </x:c>
      <x:c r="M442" t="str">
        <x:v>↺▽ + ↺□ + △ + ◎?</x:v>
      </x:c>
      <x:c r="N442" t="str">
        <x:v>S(Connector phase) with Sc(Transition bridge): ASK in model.</x:v>
      </x:c>
    </x:row>
    <x:row r="443">
      <x:c r="A443" t="str">
        <x:v>S</x:v>
      </x:c>
      <x:c r="B443" t="str">
        <x:v>Ti</x:v>
      </x:c>
      <x:c r="C443" t="str">
        <x:v>Connector phase</x:v>
      </x:c>
      <x:c r="D443" t="str">
        <x:v>Strong structure</x:v>
      </x:c>
      <x:c r="E443" t="str">
        <x:v>↺▽</x:v>
      </x:c>
      <x:c r="F443" t="str">
        <x:v>ᛉ□</x:v>
      </x:c>
      <x:c r="G443" t="n">
        <x:v>28.9</x:v>
      </x:c>
      <x:c r="H443" t="n">
        <x:v>15</x:v>
      </x:c>
      <x:c r="I443" t="n">
        <x:v>5.5</x:v>
      </x:c>
      <x:c r="J443" t="n">
        <x:v>27</x:v>
      </x:c>
      <x:c r="K443" t="n">
        <x:v>65.4</x:v>
      </x:c>
      <x:c r="L443" t="str">
        <x:v>ASK</x:v>
      </x:c>
      <x:c r="M443" t="str">
        <x:v>↺▽ + ᛉ□ + △ + ◎?</x:v>
      </x:c>
      <x:c r="N443" t="str">
        <x:v>S(Connector phase) with Ti(Strong structure): ASK in model.</x:v>
      </x:c>
    </x:row>
    <x:row r="444">
      <x:c r="A444" t="str">
        <x:v>S</x:v>
      </x:c>
      <x:c r="B444" t="str">
        <x:v>V</x:v>
      </x:c>
      <x:c r="C444" t="str">
        <x:v>Connector phase</x:v>
      </x:c>
      <x:c r="D444" t="str">
        <x:v>Multi-state gate</x:v>
      </x:c>
      <x:c r="E444" t="str">
        <x:v>↺▽</x:v>
      </x:c>
      <x:c r="F444" t="str">
        <x:v>◎↺</x:v>
      </x:c>
      <x:c r="G444" t="n">
        <x:v>35.1</x:v>
      </x:c>
      <x:c r="H444" t="n">
        <x:v>18</x:v>
      </x:c>
      <x:c r="I444" t="n">
        <x:v>8</x:v>
      </x:c>
      <x:c r="J444" t="n">
        <x:v>24.5</x:v>
      </x:c>
      <x:c r="K444" t="n">
        <x:v>69.6</x:v>
      </x:c>
      <x:c r="L444" t="str">
        <x:v>ASK</x:v>
      </x:c>
      <x:c r="M444" t="str">
        <x:v>↺▽ + ◎↺ + △ + ◎?</x:v>
      </x:c>
      <x:c r="N444" t="str">
        <x:v>S(Connector phase) with V(Multi-state gate): ASK in model.</x:v>
      </x:c>
    </x:row>
    <x:row r="445">
      <x:c r="A445" t="str">
        <x:v>S</x:v>
      </x:c>
      <x:c r="B445" t="str">
        <x:v>Cr</x:v>
      </x:c>
      <x:c r="C445" t="str">
        <x:v>Connector phase</x:v>
      </x:c>
      <x:c r="D445" t="str">
        <x:v>Surface guardian</x:v>
      </x:c>
      <x:c r="E445" t="str">
        <x:v>↺▽</x:v>
      </x:c>
      <x:c r="F445" t="str">
        <x:v>ᛉ◎</x:v>
      </x:c>
      <x:c r="G445" t="n">
        <x:v>33.4</x:v>
      </x:c>
      <x:c r="H445" t="n">
        <x:v>16</x:v>
      </x:c>
      <x:c r="I445" t="n">
        <x:v>7</x:v>
      </x:c>
      <x:c r="J445" t="n">
        <x:v>27</x:v>
      </x:c>
      <x:c r="K445" t="n">
        <x:v>69.4</x:v>
      </x:c>
      <x:c r="L445" t="str">
        <x:v>ASK</x:v>
      </x:c>
      <x:c r="M445" t="str">
        <x:v>↺▽ + ᛉ◎ + △ + ◎?</x:v>
      </x:c>
      <x:c r="N445" t="str">
        <x:v>S(Connector phase) with Cr(Surface guardian): ASK in model.</x:v>
      </x:c>
    </x:row>
    <x:row r="446">
      <x:c r="A446" t="str">
        <x:v>S</x:v>
      </x:c>
      <x:c r="B446" t="str">
        <x:v>Mn</x:v>
      </x:c>
      <x:c r="C446" t="str">
        <x:v>Connector phase</x:v>
      </x:c>
      <x:c r="D446" t="str">
        <x:v>Redox archer</x:v>
      </x:c>
      <x:c r="E446" t="str">
        <x:v>↺▽</x:v>
      </x:c>
      <x:c r="F446" t="str">
        <x:v>ᛏ↺</x:v>
      </x:c>
      <x:c r="G446" t="n">
        <x:v>41.4</x:v>
      </x:c>
      <x:c r="H446" t="n">
        <x:v>20</x:v>
      </x:c>
      <x:c r="I446" t="n">
        <x:v>9</x:v>
      </x:c>
      <x:c r="J446" t="n">
        <x:v>23</x:v>
      </x:c>
      <x:c r="K446" t="n">
        <x:v>75.4</x:v>
      </x:c>
      <x:c r="L446" t="str">
        <x:v>OPEN</x:v>
      </x:c>
      <x:c r="M446" t="str">
        <x:v>↺▽ + ᛏ↺ + △ + ◎✓</x:v>
      </x:c>
      <x:c r="N446" t="str">
        <x:v>S(Connector phase) with Mn(Redox archer): OPEN in model.</x:v>
      </x:c>
    </x:row>
    <x:row r="447">
      <x:c r="A447" t="str">
        <x:v>S</x:v>
      </x:c>
      <x:c r="B447" t="str">
        <x:v>Fe</x:v>
      </x:c>
      <x:c r="C447" t="str">
        <x:v>Connector phase</x:v>
      </x:c>
      <x:c r="D447" t="str">
        <x:v>Tank memory</x:v>
      </x:c>
      <x:c r="E447" t="str">
        <x:v>↺▽</x:v>
      </x:c>
      <x:c r="F447" t="str">
        <x:v>ᛉ◉</x:v>
      </x:c>
      <x:c r="G447" t="n">
        <x:v>37.9</x:v>
      </x:c>
      <x:c r="H447" t="n">
        <x:v>15</x:v>
      </x:c>
      <x:c r="I447" t="n">
        <x:v>7</x:v>
      </x:c>
      <x:c r="J447" t="n">
        <x:v>26</x:v>
      </x:c>
      <x:c r="K447" t="n">
        <x:v>71.9</x:v>
      </x:c>
      <x:c r="L447" t="str">
        <x:v>ASK</x:v>
      </x:c>
      <x:c r="M447" t="str">
        <x:v>↺▽ + ᛉ◉ + △ + ◎?</x:v>
      </x:c>
      <x:c r="N447" t="str">
        <x:v>S(Connector phase) with Fe(Tank memory): ASK in model.</x:v>
      </x:c>
    </x:row>
    <x:row r="448">
      <x:c r="A448" t="str">
        <x:v>S</x:v>
      </x:c>
      <x:c r="B448" t="str">
        <x:v>Co</x:v>
      </x:c>
      <x:c r="C448" t="str">
        <x:v>Connector phase</x:v>
      </x:c>
      <x:c r="D448" t="str">
        <x:v>Magnetic bridge</x:v>
      </x:c>
      <x:c r="E448" t="str">
        <x:v>↺▽</x:v>
      </x:c>
      <x:c r="F448" t="str">
        <x:v>◉ᛉ</x:v>
      </x:c>
      <x:c r="G448" t="n">
        <x:v>34.8</x:v>
      </x:c>
      <x:c r="H448" t="n">
        <x:v>16</x:v>
      </x:c>
      <x:c r="I448" t="n">
        <x:v>7</x:v>
      </x:c>
      <x:c r="J448" t="n">
        <x:v>25.5</x:v>
      </x:c>
      <x:c r="K448" t="n">
        <x:v>69.3</x:v>
      </x:c>
      <x:c r="L448" t="str">
        <x:v>ASK</x:v>
      </x:c>
      <x:c r="M448" t="str">
        <x:v>↺▽ + ◉ᛉ + △ + ◎?</x:v>
      </x:c>
      <x:c r="N448" t="str">
        <x:v>S(Connector phase) with Co(Magnetic bridge): ASK in model.</x:v>
      </x:c>
    </x:row>
    <x:row r="449">
      <x:c r="A449" t="str">
        <x:v>S</x:v>
      </x:c>
      <x:c r="B449" t="str">
        <x:v>Ni</x:v>
      </x:c>
      <x:c r="C449" t="str">
        <x:v>Connector phase</x:v>
      </x:c>
      <x:c r="D449" t="str">
        <x:v>Catalytic guard</x:v>
      </x:c>
      <x:c r="E449" t="str">
        <x:v>↺▽</x:v>
      </x:c>
      <x:c r="F449" t="str">
        <x:v>◎↺</x:v>
      </x:c>
      <x:c r="G449" t="n">
        <x:v>34.4</x:v>
      </x:c>
      <x:c r="H449" t="n">
        <x:v>16</x:v>
      </x:c>
      <x:c r="I449" t="n">
        <x:v>6.5</x:v>
      </x:c>
      <x:c r="J449" t="n">
        <x:v>26.5</x:v>
      </x:c>
      <x:c r="K449" t="n">
        <x:v>70.4</x:v>
      </x:c>
      <x:c r="L449" t="str">
        <x:v>ASK</x:v>
      </x:c>
      <x:c r="M449" t="str">
        <x:v>↺▽ + ◎↺ + △ + ◎?</x:v>
      </x:c>
      <x:c r="N449" t="str">
        <x:v>S(Connector phase) with Ni(Catalytic guard): ASK in model.</x:v>
      </x:c>
    </x:row>
    <x:row r="450">
      <x:c r="A450" t="str">
        <x:v>S</x:v>
      </x:c>
      <x:c r="B450" t="str">
        <x:v>Cu</x:v>
      </x:c>
      <x:c r="C450" t="str">
        <x:v>Connector phase</x:v>
      </x:c>
      <x:c r="D450" t="str">
        <x:v>Conductor flow</x:v>
      </x:c>
      <x:c r="E450" t="str">
        <x:v>↺▽</x:v>
      </x:c>
      <x:c r="F450" t="str">
        <x:v>↺ᛏ</x:v>
      </x:c>
      <x:c r="G450" t="n">
        <x:v>36.1</x:v>
      </x:c>
      <x:c r="H450" t="n">
        <x:v>18</x:v>
      </x:c>
      <x:c r="I450" t="n">
        <x:v>6</x:v>
      </x:c>
      <x:c r="J450" t="n">
        <x:v>25.5</x:v>
      </x:c>
      <x:c r="K450" t="n">
        <x:v>73.6</x:v>
      </x:c>
      <x:c r="L450" t="str">
        <x:v>ASK</x:v>
      </x:c>
      <x:c r="M450" t="str">
        <x:v>↺▽ + ↺ᛏ + △ + ◎?</x:v>
      </x:c>
      <x:c r="N450" t="str">
        <x:v>S(Connector phase) with Cu(Conductor flow): ASK in model.</x:v>
      </x:c>
    </x:row>
    <x:row r="451">
      <x:c r="A451" t="str">
        <x:v>S</x:v>
      </x:c>
      <x:c r="B451" t="str">
        <x:v>Zn</x:v>
      </x:c>
      <x:c r="C451" t="str">
        <x:v>Connector phase</x:v>
      </x:c>
      <x:c r="D451" t="str">
        <x:v>Enzyme stabilizer</x:v>
      </x:c>
      <x:c r="E451" t="str">
        <x:v>↺▽</x:v>
      </x:c>
      <x:c r="F451" t="str">
        <x:v>◎□</x:v>
      </x:c>
      <x:c r="G451" t="n">
        <x:v>26.4</x:v>
      </x:c>
      <x:c r="H451" t="n">
        <x:v>16</x:v>
      </x:c>
      <x:c r="I451" t="n">
        <x:v>5.5</x:v>
      </x:c>
      <x:c r="J451" t="n">
        <x:v>28.5</x:v>
      </x:c>
      <x:c r="K451" t="n">
        <x:v>65.4</x:v>
      </x:c>
      <x:c r="L451" t="str">
        <x:v>ASK</x:v>
      </x:c>
      <x:c r="M451" t="str">
        <x:v>↺▽ + ◎□ + △ + ◎?</x:v>
      </x:c>
      <x:c r="N451" t="str">
        <x:v>S(Connector phase) with Zn(Enzyme stabilizer): ASK in model.</x:v>
      </x:c>
    </x:row>
    <x:row r="452">
      <x:c r="A452" t="str">
        <x:v>S</x:v>
      </x:c>
      <x:c r="B452" t="str">
        <x:v>Ga</x:v>
      </x:c>
      <x:c r="C452" t="str">
        <x:v>Connector phase</x:v>
      </x:c>
      <x:c r="D452" t="str">
        <x:v>Soft form gate</x:v>
      </x:c>
      <x:c r="E452" t="str">
        <x:v>↺▽</x:v>
      </x:c>
      <x:c r="F452" t="str">
        <x:v>□↺</x:v>
      </x:c>
      <x:c r="G452" t="n">
        <x:v>26.8</x:v>
      </x:c>
      <x:c r="H452" t="n">
        <x:v>19</x:v>
      </x:c>
      <x:c r="I452" t="n">
        <x:v>6.5</x:v>
      </x:c>
      <x:c r="J452" t="n">
        <x:v>23.5</x:v>
      </x:c>
      <x:c r="K452" t="n">
        <x:v>62.8</x:v>
      </x:c>
      <x:c r="L452" t="str">
        <x:v>ASK</x:v>
      </x:c>
      <x:c r="M452" t="str">
        <x:v>↺▽ + □↺ + △ + ◎?</x:v>
      </x:c>
      <x:c r="N452" t="str">
        <x:v>S(Connector phase) with Ga(Soft form gate): ASK in model.</x:v>
      </x:c>
    </x:row>
    <x:row r="453">
      <x:c r="A453" t="str">
        <x:v>S</x:v>
      </x:c>
      <x:c r="B453" t="str">
        <x:v>Ge</x:v>
      </x:c>
      <x:c r="C453" t="str">
        <x:v>Connector phase</x:v>
      </x:c>
      <x:c r="D453" t="str">
        <x:v>Semi lattice</x:v>
      </x:c>
      <x:c r="E453" t="str">
        <x:v>↺▽</x:v>
      </x:c>
      <x:c r="F453" t="str">
        <x:v>□◎</x:v>
      </x:c>
      <x:c r="G453" t="n">
        <x:v>26.4</x:v>
      </x:c>
      <x:c r="H453" t="n">
        <x:v>16</x:v>
      </x:c>
      <x:c r="I453" t="n">
        <x:v>6</x:v>
      </x:c>
      <x:c r="J453" t="n">
        <x:v>26</x:v>
      </x:c>
      <x:c r="K453" t="n">
        <x:v>62.4</x:v>
      </x:c>
      <x:c r="L453" t="str">
        <x:v>ASK</x:v>
      </x:c>
      <x:c r="M453" t="str">
        <x:v>↺▽ + □◎ + △ + ◎?</x:v>
      </x:c>
      <x:c r="N453" t="str">
        <x:v>S(Connector phase) with Ge(Semi lattice): ASK in model.</x:v>
      </x:c>
    </x:row>
    <x:row r="454">
      <x:c r="A454" t="str">
        <x:v>S</x:v>
      </x:c>
      <x:c r="B454" t="str">
        <x:v>As</x:v>
      </x:c>
      <x:c r="C454" t="str">
        <x:v>Connector phase</x:v>
      </x:c>
      <x:c r="D454" t="str">
        <x:v>Shadow gate</x:v>
      </x:c>
      <x:c r="E454" t="str">
        <x:v>↺▽</x:v>
      </x:c>
      <x:c r="F454" t="str">
        <x:v>∅◎</x:v>
      </x:c>
      <x:c r="G454" t="n">
        <x:v>32.6</x:v>
      </x:c>
      <x:c r="H454" t="n">
        <x:v>20</x:v>
      </x:c>
      <x:c r="I454" t="n">
        <x:v>11</x:v>
      </x:c>
      <x:c r="J454" t="n">
        <x:v>21</x:v>
      </x:c>
      <x:c r="K454" t="n">
        <x:v>62.6</x:v>
      </x:c>
      <x:c r="L454" t="str">
        <x:v>ASK</x:v>
      </x:c>
      <x:c r="M454" t="str">
        <x:v>↺▽ + ∅◎ + △ + ◎?</x:v>
      </x:c>
      <x:c r="N454" t="str">
        <x:v>S(Connector phase) with As(Shadow gate): ASK in model.</x:v>
      </x:c>
    </x:row>
    <x:row r="455">
      <x:c r="A455" t="str">
        <x:v>S</x:v>
      </x:c>
      <x:c r="B455" t="str">
        <x:v>Se</x:v>
      </x:c>
      <x:c r="C455" t="str">
        <x:v>Connector phase</x:v>
      </x:c>
      <x:c r="D455" t="str">
        <x:v>Trace healer</x:v>
      </x:c>
      <x:c r="E455" t="str">
        <x:v>↺▽</x:v>
      </x:c>
      <x:c r="F455" t="str">
        <x:v>↺◉</x:v>
      </x:c>
      <x:c r="G455" t="n">
        <x:v>33.6</x:v>
      </x:c>
      <x:c r="H455" t="n">
        <x:v>20</x:v>
      </x:c>
      <x:c r="I455" t="n">
        <x:v>7.5</x:v>
      </x:c>
      <x:c r="J455" t="n">
        <x:v>24.5</x:v>
      </x:c>
      <x:c r="K455" t="n">
        <x:v>70.6</x:v>
      </x:c>
      <x:c r="L455" t="str">
        <x:v>ASK</x:v>
      </x:c>
      <x:c r="M455" t="str">
        <x:v>↺▽ + ↺◉ + △ + ◎?</x:v>
      </x:c>
      <x:c r="N455" t="str">
        <x:v>S(Connector phase) with Se(Trace healer): ASK in model.</x:v>
      </x:c>
    </x:row>
    <x:row r="456">
      <x:c r="A456" t="str">
        <x:v>S</x:v>
      </x:c>
      <x:c r="B456" t="str">
        <x:v>Br</x:v>
      </x:c>
      <x:c r="C456" t="str">
        <x:v>Connector phase</x:v>
      </x:c>
      <x:c r="D456" t="str">
        <x:v>Heavy receiver</x:v>
      </x:c>
      <x:c r="E456" t="str">
        <x:v>↺▽</x:v>
      </x:c>
      <x:c r="F456" t="str">
        <x:v>▽∅</x:v>
      </x:c>
      <x:c r="G456" t="n">
        <x:v>47.5</x:v>
      </x:c>
      <x:c r="H456" t="n">
        <x:v>16</x:v>
      </x:c>
      <x:c r="I456" t="n">
        <x:v>9</x:v>
      </x:c>
      <x:c r="J456" t="n">
        <x:v>23.5</x:v>
      </x:c>
      <x:c r="K456" t="n">
        <x:v>78</x:v>
      </x:c>
      <x:c r="L456" t="str">
        <x:v>OPEN</x:v>
      </x:c>
      <x:c r="M456" t="str">
        <x:v>↺▽ + ▽∅ + △ + ◎✓</x:v>
      </x:c>
      <x:c r="N456" t="str">
        <x:v>S(Connector phase) with Br(Heavy receiver): OPEN in model.</x:v>
      </x:c>
    </x:row>
    <x:row r="457">
      <x:c r="A457" t="str">
        <x:v>S</x:v>
      </x:c>
      <x:c r="B457" t="str">
        <x:v>Kr</x:v>
      </x:c>
      <x:c r="C457" t="str">
        <x:v>Connector phase</x:v>
      </x:c>
      <x:c r="D457" t="str">
        <x:v>Closed Gate light</x:v>
      </x:c>
      <x:c r="E457" t="str">
        <x:v>↺▽</x:v>
      </x:c>
      <x:c r="F457" t="str">
        <x:v>◎✓</x:v>
      </x:c>
      <x:c r="G457" t="n">
        <x:v>3.1</x:v>
      </x:c>
      <x:c r="H457" t="n">
        <x:v>15</x:v>
      </x:c>
      <x:c r="I457" t="n">
        <x:v>4</x:v>
      </x:c>
      <x:c r="J457" t="n">
        <x:v>31.5</x:v>
      </x:c>
      <x:c r="K457" t="n">
        <x:v>45.6</x:v>
      </x:c>
      <x:c r="L457" t="str">
        <x:v>REPAIR</x:v>
      </x:c>
      <x:c r="M457" t="str">
        <x:v>↺▽ + ◎✓ + △ + ↺</x:v>
      </x:c>
      <x:c r="N457" t="str">
        <x:v>S(Connector phase) with Kr(Closed Gate light): REPAIR in model.</x:v>
      </x:c>
    </x:row>
    <x:row r="458">
      <x:c r="A458" t="str">
        <x:v>Cl</x:v>
      </x:c>
      <x:c r="B458" t="str">
        <x:v>Cl</x:v>
      </x:c>
      <x:c r="C458" t="str">
        <x:v>Receiver closure</x:v>
      </x:c>
      <x:c r="D458" t="str">
        <x:v>Receiver closure</x:v>
      </x:c>
      <x:c r="E458" t="str">
        <x:v>▽◎</x:v>
      </x:c>
      <x:c r="F458" t="str">
        <x:v>▽◎</x:v>
      </x:c>
      <x:c r="G458" t="n">
        <x:v>66.5</x:v>
      </x:c>
      <x:c r="H458" t="n">
        <x:v>20</x:v>
      </x:c>
      <x:c r="I458" t="n">
        <x:v>9</x:v>
      </x:c>
      <x:c r="J458" t="n">
        <x:v>26</x:v>
      </x:c>
      <x:c r="K458" t="n">
        <x:v>100</x:v>
      </x:c>
      <x:c r="L458" t="str">
        <x:v>OPEN</x:v>
      </x:c>
      <x:c r="M458" t="str">
        <x:v>▽◎ + ▽◎ + △ + ◎✓</x:v>
      </x:c>
      <x:c r="N458" t="str">
        <x:v>Cl(Receiver closure) with Cl(Receiver closure): OPEN in model.</x:v>
      </x:c>
    </x:row>
    <x:row r="459">
      <x:c r="A459" t="str">
        <x:v>Cl</x:v>
      </x:c>
      <x:c r="B459" t="str">
        <x:v>Ar</x:v>
      </x:c>
      <x:c r="C459" t="str">
        <x:v>Receiver closure</x:v>
      </x:c>
      <x:c r="D459" t="str">
        <x:v>Closed Gate</x:v>
      </x:c>
      <x:c r="E459" t="str">
        <x:v>▽◎</x:v>
      </x:c>
      <x:c r="F459" t="str">
        <x:v>◎✓</x:v>
      </x:c>
      <x:c r="G459" t="n">
        <x:v>4.1</x:v>
      </x:c>
      <x:c r="H459" t="n">
        <x:v>10</x:v>
      </x:c>
      <x:c r="I459" t="n">
        <x:v>5</x:v>
      </x:c>
      <x:c r="J459" t="n">
        <x:v>32.5</x:v>
      </x:c>
      <x:c r="K459" t="n">
        <x:v>41.6</x:v>
      </x:c>
      <x:c r="L459" t="str">
        <x:v>HOLD</x:v>
      </x:c>
      <x:c r="M459" t="str">
        <x:v>▽◎ + ◎✓ + △ + HOLD</x:v>
      </x:c>
      <x:c r="N459" t="str">
        <x:v>Cl(Receiver closure) with Ar(Closed Gate): HOLD in model.</x:v>
      </x:c>
    </x:row>
    <x:row r="460">
      <x:c r="A460" t="str">
        <x:v>Cl</x:v>
      </x:c>
      <x:c r="B460" t="str">
        <x:v>K</x:v>
      </x:c>
      <x:c r="C460" t="str">
        <x:v>Receiver closure</x:v>
      </x:c>
      <x:c r="D460" t="str">
        <x:v>Heavy opener</x:v>
      </x:c>
      <x:c r="E460" t="str">
        <x:v>▽◎</x:v>
      </x:c>
      <x:c r="F460" t="str">
        <x:v>△ᛏ</x:v>
      </x:c>
      <x:c r="G460" t="n">
        <x:v>48.6</x:v>
      </x:c>
      <x:c r="H460" t="n">
        <x:v>18</x:v>
      </x:c>
      <x:c r="I460" t="n">
        <x:v>11</x:v>
      </x:c>
      <x:c r="J460" t="n">
        <x:v>18</x:v>
      </x:c>
      <x:c r="K460" t="n">
        <x:v>73.6</x:v>
      </x:c>
      <x:c r="L460" t="str">
        <x:v>ASK</x:v>
      </x:c>
      <x:c r="M460" t="str">
        <x:v>▽◎ + △ᛏ + △ + ◎?</x:v>
      </x:c>
      <x:c r="N460" t="str">
        <x:v>Cl(Receiver closure) with K(Heavy opener): ASK in model.</x:v>
      </x:c>
    </x:row>
    <x:row r="461">
      <x:c r="A461" t="str">
        <x:v>Cl</x:v>
      </x:c>
      <x:c r="B461" t="str">
        <x:v>Ca</x:v>
      </x:c>
      <x:c r="C461" t="str">
        <x:v>Receiver closure</x:v>
      </x:c>
      <x:c r="D461" t="str">
        <x:v>Tank structure</x:v>
      </x:c>
      <x:c r="E461" t="str">
        <x:v>▽◎</x:v>
      </x:c>
      <x:c r="F461" t="str">
        <x:v>ᛉ□</x:v>
      </x:c>
      <x:c r="G461" t="n">
        <x:v>37.2</x:v>
      </x:c>
      <x:c r="H461" t="n">
        <x:v>12</x:v>
      </x:c>
      <x:c r="I461" t="n">
        <x:v>7.5</x:v>
      </x:c>
      <x:c r="J461" t="n">
        <x:v>25.5</x:v>
      </x:c>
      <x:c r="K461" t="n">
        <x:v>67.2</x:v>
      </x:c>
      <x:c r="L461" t="str">
        <x:v>ASK</x:v>
      </x:c>
      <x:c r="M461" t="str">
        <x:v>▽◎ + ᛉ□ + △ + ◎?</x:v>
      </x:c>
      <x:c r="N461" t="str">
        <x:v>Cl(Receiver closure) with Ca(Tank structure): ASK in model.</x:v>
      </x:c>
    </x:row>
    <x:row r="462">
      <x:c r="A462" t="str">
        <x:v>Cl</x:v>
      </x:c>
      <x:c r="B462" t="str">
        <x:v>Sc</x:v>
      </x:c>
      <x:c r="C462" t="str">
        <x:v>Receiver closure</x:v>
      </x:c>
      <x:c r="D462" t="str">
        <x:v>Transition bridge</x:v>
      </x:c>
      <x:c r="E462" t="str">
        <x:v>▽◎</x:v>
      </x:c>
      <x:c r="F462" t="str">
        <x:v>↺□</x:v>
      </x:c>
      <x:c r="G462" t="n">
        <x:v>38.4</x:v>
      </x:c>
      <x:c r="H462" t="n">
        <x:v>13</x:v>
      </x:c>
      <x:c r="I462" t="n">
        <x:v>7.5</x:v>
      </x:c>
      <x:c r="J462" t="n">
        <x:v>25</x:v>
      </x:c>
      <x:c r="K462" t="n">
        <x:v>68.9</x:v>
      </x:c>
      <x:c r="L462" t="str">
        <x:v>ASK</x:v>
      </x:c>
      <x:c r="M462" t="str">
        <x:v>▽◎ + ↺□ + △ + ◎?</x:v>
      </x:c>
      <x:c r="N462" t="str">
        <x:v>Cl(Receiver closure) with Sc(Transition bridge): ASK in model.</x:v>
      </x:c>
    </x:row>
    <x:row r="463">
      <x:c r="A463" t="str">
        <x:v>Cl</x:v>
      </x:c>
      <x:c r="B463" t="str">
        <x:v>Ti</x:v>
      </x:c>
      <x:c r="C463" t="str">
        <x:v>Receiver closure</x:v>
      </x:c>
      <x:c r="D463" t="str">
        <x:v>Strong structure</x:v>
      </x:c>
      <x:c r="E463" t="str">
        <x:v>▽◎</x:v>
      </x:c>
      <x:c r="F463" t="str">
        <x:v>ᛉ□</x:v>
      </x:c>
      <x:c r="G463" t="n">
        <x:v>38.4</x:v>
      </x:c>
      <x:c r="H463" t="n">
        <x:v>10</x:v>
      </x:c>
      <x:c r="I463" t="n">
        <x:v>6.5</x:v>
      </x:c>
      <x:c r="J463" t="n">
        <x:v>28</x:v>
      </x:c>
      <x:c r="K463" t="n">
        <x:v>69.9</x:v>
      </x:c>
      <x:c r="L463" t="str">
        <x:v>ASK</x:v>
      </x:c>
      <x:c r="M463" t="str">
        <x:v>▽◎ + ᛉ□ + △ + ◎?</x:v>
      </x:c>
      <x:c r="N463" t="str">
        <x:v>Cl(Receiver closure) with Ti(Strong structure): ASK in model.</x:v>
      </x:c>
    </x:row>
    <x:row r="464">
      <x:c r="A464" t="str">
        <x:v>Cl</x:v>
      </x:c>
      <x:c r="B464" t="str">
        <x:v>V</x:v>
      </x:c>
      <x:c r="C464" t="str">
        <x:v>Receiver closure</x:v>
      </x:c>
      <x:c r="D464" t="str">
        <x:v>Multi-state gate</x:v>
      </x:c>
      <x:c r="E464" t="str">
        <x:v>▽◎</x:v>
      </x:c>
      <x:c r="F464" t="str">
        <x:v>◎↺</x:v>
      </x:c>
      <x:c r="G464" t="n">
        <x:v>46.6</x:v>
      </x:c>
      <x:c r="H464" t="n">
        <x:v>13</x:v>
      </x:c>
      <x:c r="I464" t="n">
        <x:v>9</x:v>
      </x:c>
      <x:c r="J464" t="n">
        <x:v>25.5</x:v>
      </x:c>
      <x:c r="K464" t="n">
        <x:v>76.1</x:v>
      </x:c>
      <x:c r="L464" t="str">
        <x:v>OPEN</x:v>
      </x:c>
      <x:c r="M464" t="str">
        <x:v>▽◎ + ◎↺ + △ + ◎✓</x:v>
      </x:c>
      <x:c r="N464" t="str">
        <x:v>Cl(Receiver closure) with V(Multi-state gate): OPEN in model.</x:v>
      </x:c>
    </x:row>
    <x:row r="465">
      <x:c r="A465" t="str">
        <x:v>Cl</x:v>
      </x:c>
      <x:c r="B465" t="str">
        <x:v>Cr</x:v>
      </x:c>
      <x:c r="C465" t="str">
        <x:v>Receiver closure</x:v>
      </x:c>
      <x:c r="D465" t="str">
        <x:v>Surface guardian</x:v>
      </x:c>
      <x:c r="E465" t="str">
        <x:v>▽◎</x:v>
      </x:c>
      <x:c r="F465" t="str">
        <x:v>ᛉ◎</x:v>
      </x:c>
      <x:c r="G465" t="n">
        <x:v>44.2</x:v>
      </x:c>
      <x:c r="H465" t="n">
        <x:v>11</x:v>
      </x:c>
      <x:c r="I465" t="n">
        <x:v>8</x:v>
      </x:c>
      <x:c r="J465" t="n">
        <x:v>28</x:v>
      </x:c>
      <x:c r="K465" t="n">
        <x:v>75.2</x:v>
      </x:c>
      <x:c r="L465" t="str">
        <x:v>OPEN</x:v>
      </x:c>
      <x:c r="M465" t="str">
        <x:v>▽◎ + ᛉ◎ + △ + ◎✓</x:v>
      </x:c>
      <x:c r="N465" t="str">
        <x:v>Cl(Receiver closure) with Cr(Surface guardian): OPEN in model.</x:v>
      </x:c>
    </x:row>
    <x:row r="466">
      <x:c r="A466" t="str">
        <x:v>Cl</x:v>
      </x:c>
      <x:c r="B466" t="str">
        <x:v>Mn</x:v>
      </x:c>
      <x:c r="C466" t="str">
        <x:v>Receiver closure</x:v>
      </x:c>
      <x:c r="D466" t="str">
        <x:v>Redox archer</x:v>
      </x:c>
      <x:c r="E466" t="str">
        <x:v>▽◎</x:v>
      </x:c>
      <x:c r="F466" t="str">
        <x:v>ᛏ↺</x:v>
      </x:c>
      <x:c r="G466" t="n">
        <x:v>54.9</x:v>
      </x:c>
      <x:c r="H466" t="n">
        <x:v>15</x:v>
      </x:c>
      <x:c r="I466" t="n">
        <x:v>10</x:v>
      </x:c>
      <x:c r="J466" t="n">
        <x:v>24</x:v>
      </x:c>
      <x:c r="K466" t="n">
        <x:v>83.9</x:v>
      </x:c>
      <x:c r="L466" t="str">
        <x:v>OPEN</x:v>
      </x:c>
      <x:c r="M466" t="str">
        <x:v>▽◎ + ᛏ↺ + △ + ◎✓</x:v>
      </x:c>
      <x:c r="N466" t="str">
        <x:v>Cl(Receiver closure) with Mn(Redox archer): OPEN in model.</x:v>
      </x:c>
    </x:row>
    <x:row r="467">
      <x:c r="A467" t="str">
        <x:v>Cl</x:v>
      </x:c>
      <x:c r="B467" t="str">
        <x:v>Fe</x:v>
      </x:c>
      <x:c r="C467" t="str">
        <x:v>Receiver closure</x:v>
      </x:c>
      <x:c r="D467" t="str">
        <x:v>Tank memory</x:v>
      </x:c>
      <x:c r="E467" t="str">
        <x:v>▽◎</x:v>
      </x:c>
      <x:c r="F467" t="str">
        <x:v>ᛉ◉</x:v>
      </x:c>
      <x:c r="G467" t="n">
        <x:v>50.1</x:v>
      </x:c>
      <x:c r="H467" t="n">
        <x:v>10</x:v>
      </x:c>
      <x:c r="I467" t="n">
        <x:v>8</x:v>
      </x:c>
      <x:c r="J467" t="n">
        <x:v>27</x:v>
      </x:c>
      <x:c r="K467" t="n">
        <x:v>79.1</x:v>
      </x:c>
      <x:c r="L467" t="str">
        <x:v>OPEN</x:v>
      </x:c>
      <x:c r="M467" t="str">
        <x:v>▽◎ + ᛉ◉ + △ + ◎✓</x:v>
      </x:c>
      <x:c r="N467" t="str">
        <x:v>Cl(Receiver closure) with Fe(Tank memory): OPEN in model.</x:v>
      </x:c>
    </x:row>
    <x:row r="468">
      <x:c r="A468" t="str">
        <x:v>Cl</x:v>
      </x:c>
      <x:c r="B468" t="str">
        <x:v>Co</x:v>
      </x:c>
      <x:c r="C468" t="str">
        <x:v>Receiver closure</x:v>
      </x:c>
      <x:c r="D468" t="str">
        <x:v>Magnetic bridge</x:v>
      </x:c>
      <x:c r="E468" t="str">
        <x:v>▽◎</x:v>
      </x:c>
      <x:c r="F468" t="str">
        <x:v>◉ᛉ</x:v>
      </x:c>
      <x:c r="G468" t="n">
        <x:v>46</x:v>
      </x:c>
      <x:c r="H468" t="n">
        <x:v>11</x:v>
      </x:c>
      <x:c r="I468" t="n">
        <x:v>8</x:v>
      </x:c>
      <x:c r="J468" t="n">
        <x:v>26.5</x:v>
      </x:c>
      <x:c r="K468" t="n">
        <x:v>75.5</x:v>
      </x:c>
      <x:c r="L468" t="str">
        <x:v>OPEN</x:v>
      </x:c>
      <x:c r="M468" t="str">
        <x:v>▽◎ + ◉ᛉ + △ + ◎✓</x:v>
      </x:c>
      <x:c r="N468" t="str">
        <x:v>Cl(Receiver closure) with Co(Magnetic bridge): OPEN in model.</x:v>
      </x:c>
    </x:row>
    <x:row r="469">
      <x:c r="A469" t="str">
        <x:v>Cl</x:v>
      </x:c>
      <x:c r="B469" t="str">
        <x:v>Ni</x:v>
      </x:c>
      <x:c r="C469" t="str">
        <x:v>Receiver closure</x:v>
      </x:c>
      <x:c r="D469" t="str">
        <x:v>Catalytic guard</x:v>
      </x:c>
      <x:c r="E469" t="str">
        <x:v>▽◎</x:v>
      </x:c>
      <x:c r="F469" t="str">
        <x:v>◎↺</x:v>
      </x:c>
      <x:c r="G469" t="n">
        <x:v>45.4</x:v>
      </x:c>
      <x:c r="H469" t="n">
        <x:v>11</x:v>
      </x:c>
      <x:c r="I469" t="n">
        <x:v>7.5</x:v>
      </x:c>
      <x:c r="J469" t="n">
        <x:v>27.5</x:v>
      </x:c>
      <x:c r="K469" t="n">
        <x:v>76.4</x:v>
      </x:c>
      <x:c r="L469" t="str">
        <x:v>OPEN</x:v>
      </x:c>
      <x:c r="M469" t="str">
        <x:v>▽◎ + ◎↺ + △ + ◎✓</x:v>
      </x:c>
      <x:c r="N469" t="str">
        <x:v>Cl(Receiver closure) with Ni(Catalytic guard): OPEN in model.</x:v>
      </x:c>
    </x:row>
    <x:row r="470">
      <x:c r="A470" t="str">
        <x:v>Cl</x:v>
      </x:c>
      <x:c r="B470" t="str">
        <x:v>Cu</x:v>
      </x:c>
      <x:c r="C470" t="str">
        <x:v>Receiver closure</x:v>
      </x:c>
      <x:c r="D470" t="str">
        <x:v>Conductor flow</x:v>
      </x:c>
      <x:c r="E470" t="str">
        <x:v>▽◎</x:v>
      </x:c>
      <x:c r="F470" t="str">
        <x:v>↺ᛏ</x:v>
      </x:c>
      <x:c r="G470" t="n">
        <x:v>47.8</x:v>
      </x:c>
      <x:c r="H470" t="n">
        <x:v>13</x:v>
      </x:c>
      <x:c r="I470" t="n">
        <x:v>7</x:v>
      </x:c>
      <x:c r="J470" t="n">
        <x:v>26.5</x:v>
      </x:c>
      <x:c r="K470" t="n">
        <x:v>80.3</x:v>
      </x:c>
      <x:c r="L470" t="str">
        <x:v>OPEN</x:v>
      </x:c>
      <x:c r="M470" t="str">
        <x:v>▽◎ + ↺ᛏ + △ + ◎✓</x:v>
      </x:c>
      <x:c r="N470" t="str">
        <x:v>Cl(Receiver closure) with Cu(Conductor flow): OPEN in model.</x:v>
      </x:c>
    </x:row>
    <x:row r="471">
      <x:c r="A471" t="str">
        <x:v>Cl</x:v>
      </x:c>
      <x:c r="B471" t="str">
        <x:v>Zn</x:v>
      </x:c>
      <x:c r="C471" t="str">
        <x:v>Receiver closure</x:v>
      </x:c>
      <x:c r="D471" t="str">
        <x:v>Enzyme stabilizer</x:v>
      </x:c>
      <x:c r="E471" t="str">
        <x:v>▽◎</x:v>
      </x:c>
      <x:c r="F471" t="str">
        <x:v>◎□</x:v>
      </x:c>
      <x:c r="G471" t="n">
        <x:v>34.8</x:v>
      </x:c>
      <x:c r="H471" t="n">
        <x:v>11</x:v>
      </x:c>
      <x:c r="I471" t="n">
        <x:v>6.5</x:v>
      </x:c>
      <x:c r="J471" t="n">
        <x:v>29.5</x:v>
      </x:c>
      <x:c r="K471" t="n">
        <x:v>68.8</x:v>
      </x:c>
      <x:c r="L471" t="str">
        <x:v>ASK</x:v>
      </x:c>
      <x:c r="M471" t="str">
        <x:v>▽◎ + ◎□ + △ + ◎?</x:v>
      </x:c>
      <x:c r="N471" t="str">
        <x:v>Cl(Receiver closure) with Zn(Enzyme stabilizer): ASK in model.</x:v>
      </x:c>
    </x:row>
    <x:row r="472">
      <x:c r="A472" t="str">
        <x:v>Cl</x:v>
      </x:c>
      <x:c r="B472" t="str">
        <x:v>Ga</x:v>
      </x:c>
      <x:c r="C472" t="str">
        <x:v>Receiver closure</x:v>
      </x:c>
      <x:c r="D472" t="str">
        <x:v>Soft form gate</x:v>
      </x:c>
      <x:c r="E472" t="str">
        <x:v>▽◎</x:v>
      </x:c>
      <x:c r="F472" t="str">
        <x:v>□↺</x:v>
      </x:c>
      <x:c r="G472" t="n">
        <x:v>35.4</x:v>
      </x:c>
      <x:c r="H472" t="n">
        <x:v>14</x:v>
      </x:c>
      <x:c r="I472" t="n">
        <x:v>7.5</x:v>
      </x:c>
      <x:c r="J472" t="n">
        <x:v>24.5</x:v>
      </x:c>
      <x:c r="K472" t="n">
        <x:v>66.4</x:v>
      </x:c>
      <x:c r="L472" t="str">
        <x:v>ASK</x:v>
      </x:c>
      <x:c r="M472" t="str">
        <x:v>▽◎ + □↺ + △ + ◎?</x:v>
      </x:c>
      <x:c r="N472" t="str">
        <x:v>Cl(Receiver closure) with Ga(Soft form gate): ASK in model.</x:v>
      </x:c>
    </x:row>
    <x:row r="473">
      <x:c r="A473" t="str">
        <x:v>Cl</x:v>
      </x:c>
      <x:c r="B473" t="str">
        <x:v>Ge</x:v>
      </x:c>
      <x:c r="C473" t="str">
        <x:v>Receiver closure</x:v>
      </x:c>
      <x:c r="D473" t="str">
        <x:v>Semi lattice</x:v>
      </x:c>
      <x:c r="E473" t="str">
        <x:v>▽◎</x:v>
      </x:c>
      <x:c r="F473" t="str">
        <x:v>□◎</x:v>
      </x:c>
      <x:c r="G473" t="n">
        <x:v>34.8</x:v>
      </x:c>
      <x:c r="H473" t="n">
        <x:v>11</x:v>
      </x:c>
      <x:c r="I473" t="n">
        <x:v>7</x:v>
      </x:c>
      <x:c r="J473" t="n">
        <x:v>27</x:v>
      </x:c>
      <x:c r="K473" t="n">
        <x:v>65.8</x:v>
      </x:c>
      <x:c r="L473" t="str">
        <x:v>ASK</x:v>
      </x:c>
      <x:c r="M473" t="str">
        <x:v>▽◎ + □◎ + △ + ◎?</x:v>
      </x:c>
      <x:c r="N473" t="str">
        <x:v>Cl(Receiver closure) with Ge(Semi lattice): ASK in model.</x:v>
      </x:c>
    </x:row>
    <x:row r="474">
      <x:c r="A474" t="str">
        <x:v>Cl</x:v>
      </x:c>
      <x:c r="B474" t="str">
        <x:v>As</x:v>
      </x:c>
      <x:c r="C474" t="str">
        <x:v>Receiver closure</x:v>
      </x:c>
      <x:c r="D474" t="str">
        <x:v>Shadow gate</x:v>
      </x:c>
      <x:c r="E474" t="str">
        <x:v>▽◎</x:v>
      </x:c>
      <x:c r="F474" t="str">
        <x:v>∅◎</x:v>
      </x:c>
      <x:c r="G474" t="n">
        <x:v>43</x:v>
      </x:c>
      <x:c r="H474" t="n">
        <x:v>15</x:v>
      </x:c>
      <x:c r="I474" t="n">
        <x:v>12</x:v>
      </x:c>
      <x:c r="J474" t="n">
        <x:v>22</x:v>
      </x:c>
      <x:c r="K474" t="n">
        <x:v>68</x:v>
      </x:c>
      <x:c r="L474" t="str">
        <x:v>ASK</x:v>
      </x:c>
      <x:c r="M474" t="str">
        <x:v>▽◎ + ∅◎ + △ + ◎?</x:v>
      </x:c>
      <x:c r="N474" t="str">
        <x:v>Cl(Receiver closure) with As(Shadow gate): ASK in model.</x:v>
      </x:c>
    </x:row>
    <x:row r="475">
      <x:c r="A475" t="str">
        <x:v>Cl</x:v>
      </x:c>
      <x:c r="B475" t="str">
        <x:v>Se</x:v>
      </x:c>
      <x:c r="C475" t="str">
        <x:v>Receiver closure</x:v>
      </x:c>
      <x:c r="D475" t="str">
        <x:v>Trace healer</x:v>
      </x:c>
      <x:c r="E475" t="str">
        <x:v>▽◎</x:v>
      </x:c>
      <x:c r="F475" t="str">
        <x:v>↺◉</x:v>
      </x:c>
      <x:c r="G475" t="n">
        <x:v>44.1</x:v>
      </x:c>
      <x:c r="H475" t="n">
        <x:v>15</x:v>
      </x:c>
      <x:c r="I475" t="n">
        <x:v>8.5</x:v>
      </x:c>
      <x:c r="J475" t="n">
        <x:v>25.5</x:v>
      </x:c>
      <x:c r="K475" t="n">
        <x:v>76.1</x:v>
      </x:c>
      <x:c r="L475" t="str">
        <x:v>OPEN</x:v>
      </x:c>
      <x:c r="M475" t="str">
        <x:v>▽◎ + ↺◉ + △ + ◎✓</x:v>
      </x:c>
      <x:c r="N475" t="str">
        <x:v>Cl(Receiver closure) with Se(Trace healer): OPEN in model.</x:v>
      </x:c>
    </x:row>
    <x:row r="476">
      <x:c r="A476" t="str">
        <x:v>Cl</x:v>
      </x:c>
      <x:c r="B476" t="str">
        <x:v>Br</x:v>
      </x:c>
      <x:c r="C476" t="str">
        <x:v>Receiver closure</x:v>
      </x:c>
      <x:c r="D476" t="str">
        <x:v>Heavy receiver</x:v>
      </x:c>
      <x:c r="E476" t="str">
        <x:v>▽◎</x:v>
      </x:c>
      <x:c r="F476" t="str">
        <x:v>▽∅</x:v>
      </x:c>
      <x:c r="G476" t="n">
        <x:v>62.4</x:v>
      </x:c>
      <x:c r="H476" t="n">
        <x:v>19</x:v>
      </x:c>
      <x:c r="I476" t="n">
        <x:v>10</x:v>
      </x:c>
      <x:c r="J476" t="n">
        <x:v>24.5</x:v>
      </x:c>
      <x:c r="K476" t="n">
        <x:v>95.9</x:v>
      </x:c>
      <x:c r="L476" t="str">
        <x:v>OPEN</x:v>
      </x:c>
      <x:c r="M476" t="str">
        <x:v>▽◎ + ▽∅ + △ + ◎✓</x:v>
      </x:c>
      <x:c r="N476" t="str">
        <x:v>Cl(Receiver closure) with Br(Heavy receiver): OPEN in model.</x:v>
      </x:c>
    </x:row>
    <x:row r="477">
      <x:c r="A477" t="str">
        <x:v>Cl</x:v>
      </x:c>
      <x:c r="B477" t="str">
        <x:v>Kr</x:v>
      </x:c>
      <x:c r="C477" t="str">
        <x:v>Receiver closure</x:v>
      </x:c>
      <x:c r="D477" t="str">
        <x:v>Closed Gate light</x:v>
      </x:c>
      <x:c r="E477" t="str">
        <x:v>▽◎</x:v>
      </x:c>
      <x:c r="F477" t="str">
        <x:v>◎✓</x:v>
      </x:c>
      <x:c r="G477" t="n">
        <x:v>4.1</x:v>
      </x:c>
      <x:c r="H477" t="n">
        <x:v>10</x:v>
      </x:c>
      <x:c r="I477" t="n">
        <x:v>5</x:v>
      </x:c>
      <x:c r="J477" t="n">
        <x:v>32.5</x:v>
      </x:c>
      <x:c r="K477" t="n">
        <x:v>41.6</x:v>
      </x:c>
      <x:c r="L477" t="str">
        <x:v>HOLD</x:v>
      </x:c>
      <x:c r="M477" t="str">
        <x:v>▽◎ + ◎✓ + △ + HOLD</x:v>
      </x:c>
      <x:c r="N477" t="str">
        <x:v>Cl(Receiver closure) with Kr(Closed Gate light): HOLD in model.</x:v>
      </x:c>
    </x:row>
    <x:row r="478">
      <x:c r="A478" t="str">
        <x:v>Ar</x:v>
      </x:c>
      <x:c r="B478" t="str">
        <x:v>Ar</x:v>
      </x:c>
      <x:c r="C478" t="str">
        <x:v>Closed Gate</x:v>
      </x:c>
      <x:c r="D478" t="str">
        <x:v>Closed Gate</x:v>
      </x:c>
      <x:c r="E478" t="str">
        <x:v>◎✓</x:v>
      </x:c>
      <x:c r="F478" t="str">
        <x:v>◎✓</x:v>
      </x:c>
      <x:c r="G478" t="n">
        <x:v>0.3</x:v>
      </x:c>
      <x:c r="H478" t="n">
        <x:v>20</x:v>
      </x:c>
      <x:c r="I478" t="n">
        <x:v>1</x:v>
      </x:c>
      <x:c r="J478" t="n">
        <x:v>39</x:v>
      </x:c>
      <x:c r="K478" t="n">
        <x:v>58.3</x:v>
      </x:c>
      <x:c r="L478" t="str">
        <x:v>ASK</x:v>
      </x:c>
      <x:c r="M478" t="str">
        <x:v>◎✓ + ◎✓ + △ + ◎?</x:v>
      </x:c>
      <x:c r="N478" t="str">
        <x:v>Ar(Closed Gate) with Ar(Closed Gate): ASK in model.</x:v>
      </x:c>
    </x:row>
    <x:row r="479">
      <x:c r="A479" t="str">
        <x:v>Ar</x:v>
      </x:c>
      <x:c r="B479" t="str">
        <x:v>K</x:v>
      </x:c>
      <x:c r="C479" t="str">
        <x:v>Closed Gate</x:v>
      </x:c>
      <x:c r="D479" t="str">
        <x:v>Heavy opener</x:v>
      </x:c>
      <x:c r="E479" t="str">
        <x:v>◎✓</x:v>
      </x:c>
      <x:c r="F479" t="str">
        <x:v>△ᛏ</x:v>
      </x:c>
      <x:c r="G479" t="n">
        <x:v>2.6</x:v>
      </x:c>
      <x:c r="H479" t="n">
        <x:v>8</x:v>
      </x:c>
      <x:c r="I479" t="n">
        <x:v>7</x:v>
      </x:c>
      <x:c r="J479" t="n">
        <x:v>24.5</x:v>
      </x:c>
      <x:c r="K479" t="n">
        <x:v>28.1</x:v>
      </x:c>
      <x:c r="L479" t="str">
        <x:v>HOLD</x:v>
      </x:c>
      <x:c r="M479" t="str">
        <x:v>◎✓ + △ᛏ + △ + HOLD</x:v>
      </x:c>
      <x:c r="N479" t="str">
        <x:v>Ar(Closed Gate) with K(Heavy opener): HOLD in model.</x:v>
      </x:c>
    </x:row>
    <x:row r="480">
      <x:c r="A480" t="str">
        <x:v>Ar</x:v>
      </x:c>
      <x:c r="B480" t="str">
        <x:v>Ca</x:v>
      </x:c>
      <x:c r="C480" t="str">
        <x:v>Closed Gate</x:v>
      </x:c>
      <x:c r="D480" t="str">
        <x:v>Tank structure</x:v>
      </x:c>
      <x:c r="E480" t="str">
        <x:v>◎✓</x:v>
      </x:c>
      <x:c r="F480" t="str">
        <x:v>ᛉ□</x:v>
      </x:c>
      <x:c r="G480" t="n">
        <x:v>2.1</x:v>
      </x:c>
      <x:c r="H480" t="n">
        <x:v>18</x:v>
      </x:c>
      <x:c r="I480" t="n">
        <x:v>3.5</x:v>
      </x:c>
      <x:c r="J480" t="n">
        <x:v>32</x:v>
      </x:c>
      <x:c r="K480" t="n">
        <x:v>48.6</x:v>
      </x:c>
      <x:c r="L480" t="str">
        <x:v>REPAIR</x:v>
      </x:c>
      <x:c r="M480" t="str">
        <x:v>◎✓ + ᛉ□ + △ + ↺</x:v>
      </x:c>
      <x:c r="N480" t="str">
        <x:v>Ar(Closed Gate) with Ca(Tank structure): REPAIR in model.</x:v>
      </x:c>
    </x:row>
    <x:row r="481">
      <x:c r="A481" t="str">
        <x:v>Ar</x:v>
      </x:c>
      <x:c r="B481" t="str">
        <x:v>Sc</x:v>
      </x:c>
      <x:c r="C481" t="str">
        <x:v>Closed Gate</x:v>
      </x:c>
      <x:c r="D481" t="str">
        <x:v>Transition bridge</x:v>
      </x:c>
      <x:c r="E481" t="str">
        <x:v>◎✓</x:v>
      </x:c>
      <x:c r="F481" t="str">
        <x:v>↺□</x:v>
      </x:c>
      <x:c r="G481" t="n">
        <x:v>2.2</x:v>
      </x:c>
      <x:c r="H481" t="n">
        <x:v>17</x:v>
      </x:c>
      <x:c r="I481" t="n">
        <x:v>3.5</x:v>
      </x:c>
      <x:c r="J481" t="n">
        <x:v>31.5</x:v>
      </x:c>
      <x:c r="K481" t="n">
        <x:v>47.2</x:v>
      </x:c>
      <x:c r="L481" t="str">
        <x:v>REPAIR</x:v>
      </x:c>
      <x:c r="M481" t="str">
        <x:v>◎✓ + ↺□ + △ + ↺</x:v>
      </x:c>
      <x:c r="N481" t="str">
        <x:v>Ar(Closed Gate) with Sc(Transition bridge): REPAIR in model.</x:v>
      </x:c>
    </x:row>
    <x:row r="482">
      <x:c r="A482" t="str">
        <x:v>Ar</x:v>
      </x:c>
      <x:c r="B482" t="str">
        <x:v>Ti</x:v>
      </x:c>
      <x:c r="C482" t="str">
        <x:v>Closed Gate</x:v>
      </x:c>
      <x:c r="D482" t="str">
        <x:v>Strong structure</x:v>
      </x:c>
      <x:c r="E482" t="str">
        <x:v>◎✓</x:v>
      </x:c>
      <x:c r="F482" t="str">
        <x:v>ᛉ□</x:v>
      </x:c>
      <x:c r="G482" t="n">
        <x:v>2.2</x:v>
      </x:c>
      <x:c r="H482" t="n">
        <x:v>20</x:v>
      </x:c>
      <x:c r="I482" t="n">
        <x:v>2.5</x:v>
      </x:c>
      <x:c r="J482" t="n">
        <x:v>34.5</x:v>
      </x:c>
      <x:c r="K482" t="n">
        <x:v>54.2</x:v>
      </x:c>
      <x:c r="L482" t="str">
        <x:v>REPAIR</x:v>
      </x:c>
      <x:c r="M482" t="str">
        <x:v>◎✓ + ᛉ□ + △ + ↺</x:v>
      </x:c>
      <x:c r="N482" t="str">
        <x:v>Ar(Closed Gate) with Ti(Strong structure): REPAIR in model.</x:v>
      </x:c>
    </x:row>
    <x:row r="483">
      <x:c r="A483" t="str">
        <x:v>Ar</x:v>
      </x:c>
      <x:c r="B483" t="str">
        <x:v>V</x:v>
      </x:c>
      <x:c r="C483" t="str">
        <x:v>Closed Gate</x:v>
      </x:c>
      <x:c r="D483" t="str">
        <x:v>Multi-state gate</x:v>
      </x:c>
      <x:c r="E483" t="str">
        <x:v>◎✓</x:v>
      </x:c>
      <x:c r="F483" t="str">
        <x:v>◎↺</x:v>
      </x:c>
      <x:c r="G483" t="n">
        <x:v>2.8</x:v>
      </x:c>
      <x:c r="H483" t="n">
        <x:v>17</x:v>
      </x:c>
      <x:c r="I483" t="n">
        <x:v>5</x:v>
      </x:c>
      <x:c r="J483" t="n">
        <x:v>32</x:v>
      </x:c>
      <x:c r="K483" t="n">
        <x:v>46.8</x:v>
      </x:c>
      <x:c r="L483" t="str">
        <x:v>REPAIR</x:v>
      </x:c>
      <x:c r="M483" t="str">
        <x:v>◎✓ + ◎↺ + △ + ↺</x:v>
      </x:c>
      <x:c r="N483" t="str">
        <x:v>Ar(Closed Gate) with V(Multi-state gate): REPAIR in model.</x:v>
      </x:c>
    </x:row>
    <x:row r="484">
      <x:c r="A484" t="str">
        <x:v>Ar</x:v>
      </x:c>
      <x:c r="B484" t="str">
        <x:v>Cr</x:v>
      </x:c>
      <x:c r="C484" t="str">
        <x:v>Closed Gate</x:v>
      </x:c>
      <x:c r="D484" t="str">
        <x:v>Surface guardian</x:v>
      </x:c>
      <x:c r="E484" t="str">
        <x:v>◎✓</x:v>
      </x:c>
      <x:c r="F484" t="str">
        <x:v>ᛉ◎</x:v>
      </x:c>
      <x:c r="G484" t="n">
        <x:v>2.6</x:v>
      </x:c>
      <x:c r="H484" t="n">
        <x:v>19</x:v>
      </x:c>
      <x:c r="I484" t="n">
        <x:v>4</x:v>
      </x:c>
      <x:c r="J484" t="n">
        <x:v>34.5</x:v>
      </x:c>
      <x:c r="K484" t="n">
        <x:v>52.1</x:v>
      </x:c>
      <x:c r="L484" t="str">
        <x:v>REPAIR</x:v>
      </x:c>
      <x:c r="M484" t="str">
        <x:v>◎✓ + ᛉ◎ + △ + ↺</x:v>
      </x:c>
      <x:c r="N484" t="str">
        <x:v>Ar(Closed Gate) with Cr(Surface guardian): REPAIR in model.</x:v>
      </x:c>
    </x:row>
    <x:row r="485">
      <x:c r="A485" t="str">
        <x:v>Ar</x:v>
      </x:c>
      <x:c r="B485" t="str">
        <x:v>Mn</x:v>
      </x:c>
      <x:c r="C485" t="str">
        <x:v>Closed Gate</x:v>
      </x:c>
      <x:c r="D485" t="str">
        <x:v>Redox archer</x:v>
      </x:c>
      <x:c r="E485" t="str">
        <x:v>◎✓</x:v>
      </x:c>
      <x:c r="F485" t="str">
        <x:v>ᛏ↺</x:v>
      </x:c>
      <x:c r="G485" t="n">
        <x:v>3.2</x:v>
      </x:c>
      <x:c r="H485" t="n">
        <x:v>15</x:v>
      </x:c>
      <x:c r="I485" t="n">
        <x:v>6</x:v>
      </x:c>
      <x:c r="J485" t="n">
        <x:v>30.5</x:v>
      </x:c>
      <x:c r="K485" t="n">
        <x:v>42.7</x:v>
      </x:c>
      <x:c r="L485" t="str">
        <x:v>REPAIR</x:v>
      </x:c>
      <x:c r="M485" t="str">
        <x:v>◎✓ + ᛏ↺ + △ + ↺</x:v>
      </x:c>
      <x:c r="N485" t="str">
        <x:v>Ar(Closed Gate) with Mn(Redox archer): REPAIR in model.</x:v>
      </x:c>
    </x:row>
    <x:row r="486">
      <x:c r="A486" t="str">
        <x:v>Ar</x:v>
      </x:c>
      <x:c r="B486" t="str">
        <x:v>Fe</x:v>
      </x:c>
      <x:c r="C486" t="str">
        <x:v>Closed Gate</x:v>
      </x:c>
      <x:c r="D486" t="str">
        <x:v>Tank memory</x:v>
      </x:c>
      <x:c r="E486" t="str">
        <x:v>◎✓</x:v>
      </x:c>
      <x:c r="F486" t="str">
        <x:v>ᛉ◉</x:v>
      </x:c>
      <x:c r="G486" t="n">
        <x:v>3</x:v>
      </x:c>
      <x:c r="H486" t="n">
        <x:v>20</x:v>
      </x:c>
      <x:c r="I486" t="n">
        <x:v>4</x:v>
      </x:c>
      <x:c r="J486" t="n">
        <x:v>33.5</x:v>
      </x:c>
      <x:c r="K486" t="n">
        <x:v>52.5</x:v>
      </x:c>
      <x:c r="L486" t="str">
        <x:v>REPAIR</x:v>
      </x:c>
      <x:c r="M486" t="str">
        <x:v>◎✓ + ᛉ◉ + △ + ↺</x:v>
      </x:c>
      <x:c r="N486" t="str">
        <x:v>Ar(Closed Gate) with Fe(Tank memory): REPAIR in model.</x:v>
      </x:c>
    </x:row>
    <x:row r="487">
      <x:c r="A487" t="str">
        <x:v>Ar</x:v>
      </x:c>
      <x:c r="B487" t="str">
        <x:v>Co</x:v>
      </x:c>
      <x:c r="C487" t="str">
        <x:v>Closed Gate</x:v>
      </x:c>
      <x:c r="D487" t="str">
        <x:v>Magnetic bridge</x:v>
      </x:c>
      <x:c r="E487" t="str">
        <x:v>◎✓</x:v>
      </x:c>
      <x:c r="F487" t="str">
        <x:v>◉ᛉ</x:v>
      </x:c>
      <x:c r="G487" t="n">
        <x:v>2.8</x:v>
      </x:c>
      <x:c r="H487" t="n">
        <x:v>19</x:v>
      </x:c>
      <x:c r="I487" t="n">
        <x:v>4</x:v>
      </x:c>
      <x:c r="J487" t="n">
        <x:v>33</x:v>
      </x:c>
      <x:c r="K487" t="n">
        <x:v>50.8</x:v>
      </x:c>
      <x:c r="L487" t="str">
        <x:v>REPAIR</x:v>
      </x:c>
      <x:c r="M487" t="str">
        <x:v>◎✓ + ◉ᛉ + △ + ↺</x:v>
      </x:c>
      <x:c r="N487" t="str">
        <x:v>Ar(Closed Gate) with Co(Magnetic bridge): REPAIR in model.</x:v>
      </x:c>
    </x:row>
    <x:row r="488">
      <x:c r="A488" t="str">
        <x:v>Ar</x:v>
      </x:c>
      <x:c r="B488" t="str">
        <x:v>Ni</x:v>
      </x:c>
      <x:c r="C488" t="str">
        <x:v>Closed Gate</x:v>
      </x:c>
      <x:c r="D488" t="str">
        <x:v>Catalytic guard</x:v>
      </x:c>
      <x:c r="E488" t="str">
        <x:v>◎✓</x:v>
      </x:c>
      <x:c r="F488" t="str">
        <x:v>◎↺</x:v>
      </x:c>
      <x:c r="G488" t="n">
        <x:v>2.8</x:v>
      </x:c>
      <x:c r="H488" t="n">
        <x:v>19</x:v>
      </x:c>
      <x:c r="I488" t="n">
        <x:v>3.5</x:v>
      </x:c>
      <x:c r="J488" t="n">
        <x:v>34</x:v>
      </x:c>
      <x:c r="K488" t="n">
        <x:v>52.3</x:v>
      </x:c>
      <x:c r="L488" t="str">
        <x:v>REPAIR</x:v>
      </x:c>
      <x:c r="M488" t="str">
        <x:v>◎✓ + ◎↺ + △ + ↺</x:v>
      </x:c>
      <x:c r="N488" t="str">
        <x:v>Ar(Closed Gate) with Ni(Catalytic guard): REPAIR in model.</x:v>
      </x:c>
    </x:row>
    <x:row r="489">
      <x:c r="A489" t="str">
        <x:v>Ar</x:v>
      </x:c>
      <x:c r="B489" t="str">
        <x:v>Cu</x:v>
      </x:c>
      <x:c r="C489" t="str">
        <x:v>Closed Gate</x:v>
      </x:c>
      <x:c r="D489" t="str">
        <x:v>Conductor flow</x:v>
      </x:c>
      <x:c r="E489" t="str">
        <x:v>◎✓</x:v>
      </x:c>
      <x:c r="F489" t="str">
        <x:v>↺ᛏ</x:v>
      </x:c>
      <x:c r="G489" t="n">
        <x:v>2.9</x:v>
      </x:c>
      <x:c r="H489" t="n">
        <x:v>17</x:v>
      </x:c>
      <x:c r="I489" t="n">
        <x:v>3</x:v>
      </x:c>
      <x:c r="J489" t="n">
        <x:v>33</x:v>
      </x:c>
      <x:c r="K489" t="n">
        <x:v>49.9</x:v>
      </x:c>
      <x:c r="L489" t="str">
        <x:v>REPAIR</x:v>
      </x:c>
      <x:c r="M489" t="str">
        <x:v>◎✓ + ↺ᛏ + △ + ↺</x:v>
      </x:c>
      <x:c r="N489" t="str">
        <x:v>Ar(Closed Gate) with Cu(Conductor flow): REPAIR in model.</x:v>
      </x:c>
    </x:row>
    <x:row r="490">
      <x:c r="A490" t="str">
        <x:v>Ar</x:v>
      </x:c>
      <x:c r="B490" t="str">
        <x:v>Zn</x:v>
      </x:c>
      <x:c r="C490" t="str">
        <x:v>Closed Gate</x:v>
      </x:c>
      <x:c r="D490" t="str">
        <x:v>Enzyme stabilizer</x:v>
      </x:c>
      <x:c r="E490" t="str">
        <x:v>◎✓</x:v>
      </x:c>
      <x:c r="F490" t="str">
        <x:v>◎□</x:v>
      </x:c>
      <x:c r="G490" t="n">
        <x:v>2.1</x:v>
      </x:c>
      <x:c r="H490" t="n">
        <x:v>19</x:v>
      </x:c>
      <x:c r="I490" t="n">
        <x:v>2.5</x:v>
      </x:c>
      <x:c r="J490" t="n">
        <x:v>36</x:v>
      </x:c>
      <x:c r="K490" t="n">
        <x:v>54.6</x:v>
      </x:c>
      <x:c r="L490" t="str">
        <x:v>REPAIR</x:v>
      </x:c>
      <x:c r="M490" t="str">
        <x:v>◎✓ + ◎□ + △ + ↺</x:v>
      </x:c>
      <x:c r="N490" t="str">
        <x:v>Ar(Closed Gate) with Zn(Enzyme stabilizer): REPAIR in model.</x:v>
      </x:c>
    </x:row>
    <x:row r="491">
      <x:c r="A491" t="str">
        <x:v>Ar</x:v>
      </x:c>
      <x:c r="B491" t="str">
        <x:v>Ga</x:v>
      </x:c>
      <x:c r="C491" t="str">
        <x:v>Closed Gate</x:v>
      </x:c>
      <x:c r="D491" t="str">
        <x:v>Soft form gate</x:v>
      </x:c>
      <x:c r="E491" t="str">
        <x:v>◎✓</x:v>
      </x:c>
      <x:c r="F491" t="str">
        <x:v>□↺</x:v>
      </x:c>
      <x:c r="G491" t="n">
        <x:v>2.1</x:v>
      </x:c>
      <x:c r="H491" t="n">
        <x:v>16</x:v>
      </x:c>
      <x:c r="I491" t="n">
        <x:v>3.5</x:v>
      </x:c>
      <x:c r="J491" t="n">
        <x:v>31</x:v>
      </x:c>
      <x:c r="K491" t="n">
        <x:v>45.6</x:v>
      </x:c>
      <x:c r="L491" t="str">
        <x:v>REPAIR</x:v>
      </x:c>
      <x:c r="M491" t="str">
        <x:v>◎✓ + □↺ + △ + ↺</x:v>
      </x:c>
      <x:c r="N491" t="str">
        <x:v>Ar(Closed Gate) with Ga(Soft form gate): REPAIR in model.</x:v>
      </x:c>
    </x:row>
    <x:row r="492">
      <x:c r="A492" t="str">
        <x:v>Ar</x:v>
      </x:c>
      <x:c r="B492" t="str">
        <x:v>Ge</x:v>
      </x:c>
      <x:c r="C492" t="str">
        <x:v>Closed Gate</x:v>
      </x:c>
      <x:c r="D492" t="str">
        <x:v>Semi lattice</x:v>
      </x:c>
      <x:c r="E492" t="str">
        <x:v>◎✓</x:v>
      </x:c>
      <x:c r="F492" t="str">
        <x:v>□◎</x:v>
      </x:c>
      <x:c r="G492" t="n">
        <x:v>2.1</x:v>
      </x:c>
      <x:c r="H492" t="n">
        <x:v>19</x:v>
      </x:c>
      <x:c r="I492" t="n">
        <x:v>3</x:v>
      </x:c>
      <x:c r="J492" t="n">
        <x:v>33.5</x:v>
      </x:c>
      <x:c r="K492" t="n">
        <x:v>51.6</x:v>
      </x:c>
      <x:c r="L492" t="str">
        <x:v>REPAIR</x:v>
      </x:c>
      <x:c r="M492" t="str">
        <x:v>◎✓ + □◎ + △ + ↺</x:v>
      </x:c>
      <x:c r="N492" t="str">
        <x:v>Ar(Closed Gate) with Ge(Semi lattice): REPAIR in model.</x:v>
      </x:c>
    </x:row>
    <x:row r="493">
      <x:c r="A493" t="str">
        <x:v>Ar</x:v>
      </x:c>
      <x:c r="B493" t="str">
        <x:v>As</x:v>
      </x:c>
      <x:c r="C493" t="str">
        <x:v>Closed Gate</x:v>
      </x:c>
      <x:c r="D493" t="str">
        <x:v>Shadow gate</x:v>
      </x:c>
      <x:c r="E493" t="str">
        <x:v>◎✓</x:v>
      </x:c>
      <x:c r="F493" t="str">
        <x:v>∅◎</x:v>
      </x:c>
      <x:c r="G493" t="n">
        <x:v>2.6</x:v>
      </x:c>
      <x:c r="H493" t="n">
        <x:v>15</x:v>
      </x:c>
      <x:c r="I493" t="n">
        <x:v>8</x:v>
      </x:c>
      <x:c r="J493" t="n">
        <x:v>28.5</x:v>
      </x:c>
      <x:c r="K493" t="n">
        <x:v>38.1</x:v>
      </x:c>
      <x:c r="L493" t="str">
        <x:v>HOLD</x:v>
      </x:c>
      <x:c r="M493" t="str">
        <x:v>◎✓ + ∅◎ + △ + HOLD</x:v>
      </x:c>
      <x:c r="N493" t="str">
        <x:v>Ar(Closed Gate) with As(Shadow gate): HOLD in model.</x:v>
      </x:c>
    </x:row>
    <x:row r="494">
      <x:c r="A494" t="str">
        <x:v>Ar</x:v>
      </x:c>
      <x:c r="B494" t="str">
        <x:v>Se</x:v>
      </x:c>
      <x:c r="C494" t="str">
        <x:v>Closed Gate</x:v>
      </x:c>
      <x:c r="D494" t="str">
        <x:v>Trace healer</x:v>
      </x:c>
      <x:c r="E494" t="str">
        <x:v>◎✓</x:v>
      </x:c>
      <x:c r="F494" t="str">
        <x:v>↺◉</x:v>
      </x:c>
      <x:c r="G494" t="n">
        <x:v>2.8</x:v>
      </x:c>
      <x:c r="H494" t="n">
        <x:v>15</x:v>
      </x:c>
      <x:c r="I494" t="n">
        <x:v>4.5</x:v>
      </x:c>
      <x:c r="J494" t="n">
        <x:v>32</x:v>
      </x:c>
      <x:c r="K494" t="n">
        <x:v>45.3</x:v>
      </x:c>
      <x:c r="L494" t="str">
        <x:v>REPAIR</x:v>
      </x:c>
      <x:c r="M494" t="str">
        <x:v>◎✓ + ↺◉ + △ + ↺</x:v>
      </x:c>
      <x:c r="N494" t="str">
        <x:v>Ar(Closed Gate) with Se(Trace healer): REPAIR in model.</x:v>
      </x:c>
    </x:row>
    <x:row r="495">
      <x:c r="A495" t="str">
        <x:v>Ar</x:v>
      </x:c>
      <x:c r="B495" t="str">
        <x:v>Br</x:v>
      </x:c>
      <x:c r="C495" t="str">
        <x:v>Closed Gate</x:v>
      </x:c>
      <x:c r="D495" t="str">
        <x:v>Heavy receiver</x:v>
      </x:c>
      <x:c r="E495" t="str">
        <x:v>◎✓</x:v>
      </x:c>
      <x:c r="F495" t="str">
        <x:v>▽∅</x:v>
      </x:c>
      <x:c r="G495" t="n">
        <x:v>3.9</x:v>
      </x:c>
      <x:c r="H495" t="n">
        <x:v>11</x:v>
      </x:c>
      <x:c r="I495" t="n">
        <x:v>6</x:v>
      </x:c>
      <x:c r="J495" t="n">
        <x:v>31</x:v>
      </x:c>
      <x:c r="K495" t="n">
        <x:v>39.9</x:v>
      </x:c>
      <x:c r="L495" t="str">
        <x:v>HOLD</x:v>
      </x:c>
      <x:c r="M495" t="str">
        <x:v>◎✓ + ▽∅ + △ + HOLD</x:v>
      </x:c>
      <x:c r="N495" t="str">
        <x:v>Ar(Closed Gate) with Br(Heavy receiver): HOLD in model.</x:v>
      </x:c>
    </x:row>
    <x:row r="496">
      <x:c r="A496" t="str">
        <x:v>Ar</x:v>
      </x:c>
      <x:c r="B496" t="str">
        <x:v>Kr</x:v>
      </x:c>
      <x:c r="C496" t="str">
        <x:v>Closed Gate</x:v>
      </x:c>
      <x:c r="D496" t="str">
        <x:v>Closed Gate light</x:v>
      </x:c>
      <x:c r="E496" t="str">
        <x:v>◎✓</x:v>
      </x:c>
      <x:c r="F496" t="str">
        <x:v>◎✓</x:v>
      </x:c>
      <x:c r="G496" t="n">
        <x:v>0.3</x:v>
      </x:c>
      <x:c r="H496" t="n">
        <x:v>20</x:v>
      </x:c>
      <x:c r="I496" t="n">
        <x:v>1</x:v>
      </x:c>
      <x:c r="J496" t="n">
        <x:v>39</x:v>
      </x:c>
      <x:c r="K496" t="n">
        <x:v>58.3</x:v>
      </x:c>
      <x:c r="L496" t="str">
        <x:v>ASK</x:v>
      </x:c>
      <x:c r="M496" t="str">
        <x:v>◎✓ + ◎✓ + △ + ◎?</x:v>
      </x:c>
      <x:c r="N496" t="str">
        <x:v>Ar(Closed Gate) with Kr(Closed Gate light): ASK in model.</x:v>
      </x:c>
    </x:row>
    <x:row r="497">
      <x:c r="A497" t="str">
        <x:v>K</x:v>
      </x:c>
      <x:c r="B497" t="str">
        <x:v>K</x:v>
      </x:c>
      <x:c r="C497" t="str">
        <x:v>Heavy opener</x:v>
      </x:c>
      <x:c r="D497" t="str">
        <x:v>Heavy opener</x:v>
      </x:c>
      <x:c r="E497" t="str">
        <x:v>△ᛏ</x:v>
      </x:c>
      <x:c r="F497" t="str">
        <x:v>△ᛏ</x:v>
      </x:c>
      <x:c r="G497" t="n">
        <x:v>9.5</x:v>
      </x:c>
      <x:c r="H497" t="n">
        <x:v>20</x:v>
      </x:c>
      <x:c r="I497" t="n">
        <x:v>13</x:v>
      </x:c>
      <x:c r="J497" t="n">
        <x:v>10</x:v>
      </x:c>
      <x:c r="K497" t="n">
        <x:v>26.5</x:v>
      </x:c>
      <x:c r="L497" t="str">
        <x:v>HOLD</x:v>
      </x:c>
      <x:c r="M497" t="str">
        <x:v>△ᛏ + △ᛏ + △ + HOLD</x:v>
      </x:c>
      <x:c r="N497" t="str">
        <x:v>K(Heavy opener) with K(Heavy opener): HOLD in model.</x:v>
      </x:c>
    </x:row>
    <x:row r="498">
      <x:c r="A498" t="str">
        <x:v>K</x:v>
      </x:c>
      <x:c r="B498" t="str">
        <x:v>Ca</x:v>
      </x:c>
      <x:c r="C498" t="str">
        <x:v>Heavy opener</x:v>
      </x:c>
      <x:c r="D498" t="str">
        <x:v>Tank structure</x:v>
      </x:c>
      <x:c r="E498" t="str">
        <x:v>△ᛏ</x:v>
      </x:c>
      <x:c r="F498" t="str">
        <x:v>ᛉ□</x:v>
      </x:c>
      <x:c r="G498" t="n">
        <x:v>14.9</x:v>
      </x:c>
      <x:c r="H498" t="n">
        <x:v>10</x:v>
      </x:c>
      <x:c r="I498" t="n">
        <x:v>9.5</x:v>
      </x:c>
      <x:c r="J498" t="n">
        <x:v>17.5</x:v>
      </x:c>
      <x:c r="K498" t="n">
        <x:v>32.9</x:v>
      </x:c>
      <x:c r="L498" t="str">
        <x:v>HOLD</x:v>
      </x:c>
      <x:c r="M498" t="str">
        <x:v>△ᛏ + ᛉ□ + △ + HOLD</x:v>
      </x:c>
      <x:c r="N498" t="str">
        <x:v>K(Heavy opener) with Ca(Tank structure): HOLD in model.</x:v>
      </x:c>
    </x:row>
    <x:row r="499">
      <x:c r="A499" t="str">
        <x:v>K</x:v>
      </x:c>
      <x:c r="B499" t="str">
        <x:v>Sc</x:v>
      </x:c>
      <x:c r="C499" t="str">
        <x:v>Heavy opener</x:v>
      </x:c>
      <x:c r="D499" t="str">
        <x:v>Transition bridge</x:v>
      </x:c>
      <x:c r="E499" t="str">
        <x:v>△ᛏ</x:v>
      </x:c>
      <x:c r="F499" t="str">
        <x:v>↺□</x:v>
      </x:c>
      <x:c r="G499" t="n">
        <x:v>19.4</x:v>
      </x:c>
      <x:c r="H499" t="n">
        <x:v>11</x:v>
      </x:c>
      <x:c r="I499" t="n">
        <x:v>9.5</x:v>
      </x:c>
      <x:c r="J499" t="n">
        <x:v>17</x:v>
      </x:c>
      <x:c r="K499" t="n">
        <x:v>37.9</x:v>
      </x:c>
      <x:c r="L499" t="str">
        <x:v>HOLD</x:v>
      </x:c>
      <x:c r="M499" t="str">
        <x:v>△ᛏ + ↺□ + △ + HOLD</x:v>
      </x:c>
      <x:c r="N499" t="str">
        <x:v>K(Heavy opener) with Sc(Transition bridge): HOLD in model.</x:v>
      </x:c>
    </x:row>
    <x:row r="500">
      <x:c r="A500" t="str">
        <x:v>K</x:v>
      </x:c>
      <x:c r="B500" t="str">
        <x:v>Ti</x:v>
      </x:c>
      <x:c r="C500" t="str">
        <x:v>Heavy opener</x:v>
      </x:c>
      <x:c r="D500" t="str">
        <x:v>Strong structure</x:v>
      </x:c>
      <x:c r="E500" t="str">
        <x:v>△ᛏ</x:v>
      </x:c>
      <x:c r="F500" t="str">
        <x:v>ᛉ□</x:v>
      </x:c>
      <x:c r="G500" t="n">
        <x:v>19.4</x:v>
      </x:c>
      <x:c r="H500" t="n">
        <x:v>8</x:v>
      </x:c>
      <x:c r="I500" t="n">
        <x:v>8.5</x:v>
      </x:c>
      <x:c r="J500" t="n">
        <x:v>20</x:v>
      </x:c>
      <x:c r="K500" t="n">
        <x:v>38.9</x:v>
      </x:c>
      <x:c r="L500" t="str">
        <x:v>HOLD</x:v>
      </x:c>
      <x:c r="M500" t="str">
        <x:v>△ᛏ + ᛉ□ + △ + HOLD</x:v>
      </x:c>
      <x:c r="N500" t="str">
        <x:v>K(Heavy opener) with Ti(Strong structure): HOLD in model.</x:v>
      </x:c>
    </x:row>
    <x:row r="501">
      <x:c r="A501" t="str">
        <x:v>K</x:v>
      </x:c>
      <x:c r="B501" t="str">
        <x:v>V</x:v>
      </x:c>
      <x:c r="C501" t="str">
        <x:v>Heavy opener</x:v>
      </x:c>
      <x:c r="D501" t="str">
        <x:v>Multi-state gate</x:v>
      </x:c>
      <x:c r="E501" t="str">
        <x:v>△ᛏ</x:v>
      </x:c>
      <x:c r="F501" t="str">
        <x:v>◎↺</x:v>
      </x:c>
      <x:c r="G501" t="n">
        <x:v>24.6</x:v>
      </x:c>
      <x:c r="H501" t="n">
        <x:v>11</x:v>
      </x:c>
      <x:c r="I501" t="n">
        <x:v>11</x:v>
      </x:c>
      <x:c r="J501" t="n">
        <x:v>17.5</x:v>
      </x:c>
      <x:c r="K501" t="n">
        <x:v>42.1</x:v>
      </x:c>
      <x:c r="L501" t="str">
        <x:v>REPAIR</x:v>
      </x:c>
      <x:c r="M501" t="str">
        <x:v>△ᛏ + ◎↺ + △ + ↺</x:v>
      </x:c>
      <x:c r="N501" t="str">
        <x:v>K(Heavy opener) with V(Multi-state gate): REPAIR in model.</x:v>
      </x:c>
    </x:row>
    <x:row r="502">
      <x:c r="A502" t="str">
        <x:v>K</x:v>
      </x:c>
      <x:c r="B502" t="str">
        <x:v>Cr</x:v>
      </x:c>
      <x:c r="C502" t="str">
        <x:v>Heavy opener</x:v>
      </x:c>
      <x:c r="D502" t="str">
        <x:v>Surface guardian</x:v>
      </x:c>
      <x:c r="E502" t="str">
        <x:v>△ᛏ</x:v>
      </x:c>
      <x:c r="F502" t="str">
        <x:v>ᛉ◎</x:v>
      </x:c>
      <x:c r="G502" t="n">
        <x:v>24.4</x:v>
      </x:c>
      <x:c r="H502" t="n">
        <x:v>9</x:v>
      </x:c>
      <x:c r="I502" t="n">
        <x:v>10</x:v>
      </x:c>
      <x:c r="J502" t="n">
        <x:v>20</x:v>
      </x:c>
      <x:c r="K502" t="n">
        <x:v>43.4</x:v>
      </x:c>
      <x:c r="L502" t="str">
        <x:v>REPAIR</x:v>
      </x:c>
      <x:c r="M502" t="str">
        <x:v>△ᛏ + ᛉ◎ + △ + ↺</x:v>
      </x:c>
      <x:c r="N502" t="str">
        <x:v>K(Heavy opener) with Cr(Surface guardian): REPAIR in model.</x:v>
      </x:c>
    </x:row>
    <x:row r="503">
      <x:c r="A503" t="str">
        <x:v>K</x:v>
      </x:c>
      <x:c r="B503" t="str">
        <x:v>Mn</x:v>
      </x:c>
      <x:c r="C503" t="str">
        <x:v>Heavy opener</x:v>
      </x:c>
      <x:c r="D503" t="str">
        <x:v>Redox archer</x:v>
      </x:c>
      <x:c r="E503" t="str">
        <x:v>△ᛏ</x:v>
      </x:c>
      <x:c r="F503" t="str">
        <x:v>ᛏ↺</x:v>
      </x:c>
      <x:c r="G503" t="n">
        <x:v>29.9</x:v>
      </x:c>
      <x:c r="H503" t="n">
        <x:v>13</x:v>
      </x:c>
      <x:c r="I503" t="n">
        <x:v>12</x:v>
      </x:c>
      <x:c r="J503" t="n">
        <x:v>16</x:v>
      </x:c>
      <x:c r="K503" t="n">
        <x:v>46.9</x:v>
      </x:c>
      <x:c r="L503" t="str">
        <x:v>REPAIR</x:v>
      </x:c>
      <x:c r="M503" t="str">
        <x:v>△ᛏ + ᛏ↺ + △ + ↺</x:v>
      </x:c>
      <x:c r="N503" t="str">
        <x:v>K(Heavy opener) with Mn(Redox archer): REPAIR in model.</x:v>
      </x:c>
    </x:row>
    <x:row r="504">
      <x:c r="A504" t="str">
        <x:v>K</x:v>
      </x:c>
      <x:c r="B504" t="str">
        <x:v>Fe</x:v>
      </x:c>
      <x:c r="C504" t="str">
        <x:v>Heavy opener</x:v>
      </x:c>
      <x:c r="D504" t="str">
        <x:v>Tank memory</x:v>
      </x:c>
      <x:c r="E504" t="str">
        <x:v>△ᛏ</x:v>
      </x:c>
      <x:c r="F504" t="str">
        <x:v>ᛉ◉</x:v>
      </x:c>
      <x:c r="G504" t="n">
        <x:v>29.4</x:v>
      </x:c>
      <x:c r="H504" t="n">
        <x:v>8</x:v>
      </x:c>
      <x:c r="I504" t="n">
        <x:v>10</x:v>
      </x:c>
      <x:c r="J504" t="n">
        <x:v>19</x:v>
      </x:c>
      <x:c r="K504" t="n">
        <x:v>46.4</x:v>
      </x:c>
      <x:c r="L504" t="str">
        <x:v>REPAIR</x:v>
      </x:c>
      <x:c r="M504" t="str">
        <x:v>△ᛏ + ᛉ◉ + △ + ↺</x:v>
      </x:c>
      <x:c r="N504" t="str">
        <x:v>K(Heavy opener) with Fe(Tank memory): REPAIR in model.</x:v>
      </x:c>
    </x:row>
    <x:row r="505">
      <x:c r="A505" t="str">
        <x:v>K</x:v>
      </x:c>
      <x:c r="B505" t="str">
        <x:v>Co</x:v>
      </x:c>
      <x:c r="C505" t="str">
        <x:v>Heavy opener</x:v>
      </x:c>
      <x:c r="D505" t="str">
        <x:v>Magnetic bridge</x:v>
      </x:c>
      <x:c r="E505" t="str">
        <x:v>△ᛏ</x:v>
      </x:c>
      <x:c r="F505" t="str">
        <x:v>◉ᛉ</x:v>
      </x:c>
      <x:c r="G505" t="n">
        <x:v>26.7</x:v>
      </x:c>
      <x:c r="H505" t="n">
        <x:v>9</x:v>
      </x:c>
      <x:c r="I505" t="n">
        <x:v>10</x:v>
      </x:c>
      <x:c r="J505" t="n">
        <x:v>18.5</x:v>
      </x:c>
      <x:c r="K505" t="n">
        <x:v>44.2</x:v>
      </x:c>
      <x:c r="L505" t="str">
        <x:v>REPAIR</x:v>
      </x:c>
      <x:c r="M505" t="str">
        <x:v>△ᛏ + ◉ᛉ + △ + ↺</x:v>
      </x:c>
      <x:c r="N505" t="str">
        <x:v>K(Heavy opener) with Co(Magnetic bridge): REPAIR in model.</x:v>
      </x:c>
    </x:row>
    <x:row r="506">
      <x:c r="A506" t="str">
        <x:v>K</x:v>
      </x:c>
      <x:c r="B506" t="str">
        <x:v>Ni</x:v>
      </x:c>
      <x:c r="C506" t="str">
        <x:v>Heavy opener</x:v>
      </x:c>
      <x:c r="D506" t="str">
        <x:v>Catalytic guard</x:v>
      </x:c>
      <x:c r="E506" t="str">
        <x:v>△ᛏ</x:v>
      </x:c>
      <x:c r="F506" t="str">
        <x:v>◎↺</x:v>
      </x:c>
      <x:c r="G506" t="n">
        <x:v>28.9</x:v>
      </x:c>
      <x:c r="H506" t="n">
        <x:v>9</x:v>
      </x:c>
      <x:c r="I506" t="n">
        <x:v>9.5</x:v>
      </x:c>
      <x:c r="J506" t="n">
        <x:v>19.5</x:v>
      </x:c>
      <x:c r="K506" t="n">
        <x:v>47.9</x:v>
      </x:c>
      <x:c r="L506" t="str">
        <x:v>REPAIR</x:v>
      </x:c>
      <x:c r="M506" t="str">
        <x:v>△ᛏ + ◎↺ + △ + ↺</x:v>
      </x:c>
      <x:c r="N506" t="str">
        <x:v>K(Heavy opener) with Ni(Catalytic guard): REPAIR in model.</x:v>
      </x:c>
    </x:row>
    <x:row r="507">
      <x:c r="A507" t="str">
        <x:v>K</x:v>
      </x:c>
      <x:c r="B507" t="str">
        <x:v>Cu</x:v>
      </x:c>
      <x:c r="C507" t="str">
        <x:v>Heavy opener</x:v>
      </x:c>
      <x:c r="D507" t="str">
        <x:v>Conductor flow</x:v>
      </x:c>
      <x:c r="E507" t="str">
        <x:v>△ᛏ</x:v>
      </x:c>
      <x:c r="F507" t="str">
        <x:v>↺ᛏ</x:v>
      </x:c>
      <x:c r="G507" t="n">
        <x:v>29.1</x:v>
      </x:c>
      <x:c r="H507" t="n">
        <x:v>11</x:v>
      </x:c>
      <x:c r="I507" t="n">
        <x:v>9</x:v>
      </x:c>
      <x:c r="J507" t="n">
        <x:v>18.5</x:v>
      </x:c>
      <x:c r="K507" t="n">
        <x:v>49.6</x:v>
      </x:c>
      <x:c r="L507" t="str">
        <x:v>REPAIR</x:v>
      </x:c>
      <x:c r="M507" t="str">
        <x:v>△ᛏ + ↺ᛏ + △ + ↺</x:v>
      </x:c>
      <x:c r="N507" t="str">
        <x:v>K(Heavy opener) with Cu(Conductor flow): REPAIR in model.</x:v>
      </x:c>
    </x:row>
    <x:row r="508">
      <x:c r="A508" t="str">
        <x:v>K</x:v>
      </x:c>
      <x:c r="B508" t="str">
        <x:v>Zn</x:v>
      </x:c>
      <x:c r="C508" t="str">
        <x:v>Heavy opener</x:v>
      </x:c>
      <x:c r="D508" t="str">
        <x:v>Enzyme stabilizer</x:v>
      </x:c>
      <x:c r="E508" t="str">
        <x:v>△ᛏ</x:v>
      </x:c>
      <x:c r="F508" t="str">
        <x:v>◎□</x:v>
      </x:c>
      <x:c r="G508" t="n">
        <x:v>23.4</x:v>
      </x:c>
      <x:c r="H508" t="n">
        <x:v>9</x:v>
      </x:c>
      <x:c r="I508" t="n">
        <x:v>8.5</x:v>
      </x:c>
      <x:c r="J508" t="n">
        <x:v>21.5</x:v>
      </x:c>
      <x:c r="K508" t="n">
        <x:v>45.4</x:v>
      </x:c>
      <x:c r="L508" t="str">
        <x:v>REPAIR</x:v>
      </x:c>
      <x:c r="M508" t="str">
        <x:v>△ᛏ + ◎□ + △ + ↺</x:v>
      </x:c>
      <x:c r="N508" t="str">
        <x:v>K(Heavy opener) with Zn(Enzyme stabilizer): REPAIR in model.</x:v>
      </x:c>
    </x:row>
    <x:row r="509">
      <x:c r="A509" t="str">
        <x:v>K</x:v>
      </x:c>
      <x:c r="B509" t="str">
        <x:v>Ga</x:v>
      </x:c>
      <x:c r="C509" t="str">
        <x:v>Heavy opener</x:v>
      </x:c>
      <x:c r="D509" t="str">
        <x:v>Soft form gate</x:v>
      </x:c>
      <x:c r="E509" t="str">
        <x:v>△ᛏ</x:v>
      </x:c>
      <x:c r="F509" t="str">
        <x:v>□↺</x:v>
      </x:c>
      <x:c r="G509" t="n">
        <x:v>21.2</x:v>
      </x:c>
      <x:c r="H509" t="n">
        <x:v>12</x:v>
      </x:c>
      <x:c r="I509" t="n">
        <x:v>9.5</x:v>
      </x:c>
      <x:c r="J509" t="n">
        <x:v>16.5</x:v>
      </x:c>
      <x:c r="K509" t="n">
        <x:v>40.2</x:v>
      </x:c>
      <x:c r="L509" t="str">
        <x:v>HOLD</x:v>
      </x:c>
      <x:c r="M509" t="str">
        <x:v>△ᛏ + □↺ + △ + HOLD</x:v>
      </x:c>
      <x:c r="N509" t="str">
        <x:v>K(Heavy opener) with Ga(Soft form gate): HOLD in model.</x:v>
      </x:c>
    </x:row>
    <x:row r="510">
      <x:c r="A510" t="str">
        <x:v>K</x:v>
      </x:c>
      <x:c r="B510" t="str">
        <x:v>Ge</x:v>
      </x:c>
      <x:c r="C510" t="str">
        <x:v>Heavy opener</x:v>
      </x:c>
      <x:c r="D510" t="str">
        <x:v>Semi lattice</x:v>
      </x:c>
      <x:c r="E510" t="str">
        <x:v>△ᛏ</x:v>
      </x:c>
      <x:c r="F510" t="str">
        <x:v>□◎</x:v>
      </x:c>
      <x:c r="G510" t="n">
        <x:v>23.4</x:v>
      </x:c>
      <x:c r="H510" t="n">
        <x:v>9</x:v>
      </x:c>
      <x:c r="I510" t="n">
        <x:v>9</x:v>
      </x:c>
      <x:c r="J510" t="n">
        <x:v>19</x:v>
      </x:c>
      <x:c r="K510" t="n">
        <x:v>42.4</x:v>
      </x:c>
      <x:c r="L510" t="str">
        <x:v>REPAIR</x:v>
      </x:c>
      <x:c r="M510" t="str">
        <x:v>△ᛏ + □◎ + △ + ↺</x:v>
      </x:c>
      <x:c r="N510" t="str">
        <x:v>K(Heavy opener) with Ge(Semi lattice): REPAIR in model.</x:v>
      </x:c>
    </x:row>
    <x:row r="511">
      <x:c r="A511" t="str">
        <x:v>K</x:v>
      </x:c>
      <x:c r="B511" t="str">
        <x:v>As</x:v>
      </x:c>
      <x:c r="C511" t="str">
        <x:v>Heavy opener</x:v>
      </x:c>
      <x:c r="D511" t="str">
        <x:v>Shadow gate</x:v>
      </x:c>
      <x:c r="E511" t="str">
        <x:v>△ᛏ</x:v>
      </x:c>
      <x:c r="F511" t="str">
        <x:v>∅◎</x:v>
      </x:c>
      <x:c r="G511" t="n">
        <x:v>28.6</x:v>
      </x:c>
      <x:c r="H511" t="n">
        <x:v>13</x:v>
      </x:c>
      <x:c r="I511" t="n">
        <x:v>14</x:v>
      </x:c>
      <x:c r="J511" t="n">
        <x:v>14</x:v>
      </x:c>
      <x:c r="K511" t="n">
        <x:v>41.6</x:v>
      </x:c>
      <x:c r="L511" t="str">
        <x:v>HOLD</x:v>
      </x:c>
      <x:c r="M511" t="str">
        <x:v>△ᛏ + ∅◎ + △ + HOLD</x:v>
      </x:c>
      <x:c r="N511" t="str">
        <x:v>K(Heavy opener) with As(Shadow gate): HOLD in model.</x:v>
      </x:c>
    </x:row>
    <x:row r="512">
      <x:c r="A512" t="str">
        <x:v>K</x:v>
      </x:c>
      <x:c r="B512" t="str">
        <x:v>Se</x:v>
      </x:c>
      <x:c r="C512" t="str">
        <x:v>Heavy opener</x:v>
      </x:c>
      <x:c r="D512" t="str">
        <x:v>Trace healer</x:v>
      </x:c>
      <x:c r="E512" t="str">
        <x:v>△ᛏ</x:v>
      </x:c>
      <x:c r="F512" t="str">
        <x:v>↺◉</x:v>
      </x:c>
      <x:c r="G512" t="n">
        <x:v>33.1</x:v>
      </x:c>
      <x:c r="H512" t="n">
        <x:v>13</x:v>
      </x:c>
      <x:c r="I512" t="n">
        <x:v>10.5</x:v>
      </x:c>
      <x:c r="J512" t="n">
        <x:v>17.5</x:v>
      </x:c>
      <x:c r="K512" t="n">
        <x:v>53.1</x:v>
      </x:c>
      <x:c r="L512" t="str">
        <x:v>REPAIR</x:v>
      </x:c>
      <x:c r="M512" t="str">
        <x:v>△ᛏ + ↺◉ + △ + ↺</x:v>
      </x:c>
      <x:c r="N512" t="str">
        <x:v>K(Heavy opener) with Se(Trace healer): REPAIR in model.</x:v>
      </x:c>
    </x:row>
    <x:row r="513">
      <x:c r="A513" t="str">
        <x:v>K</x:v>
      </x:c>
      <x:c r="B513" t="str">
        <x:v>Br</x:v>
      </x:c>
      <x:c r="C513" t="str">
        <x:v>Heavy opener</x:v>
      </x:c>
      <x:c r="D513" t="str">
        <x:v>Heavy receiver</x:v>
      </x:c>
      <x:c r="E513" t="str">
        <x:v>△ᛏ</x:v>
      </x:c>
      <x:c r="F513" t="str">
        <x:v>▽∅</x:v>
      </x:c>
      <x:c r="G513" t="n">
        <x:v>46</x:v>
      </x:c>
      <x:c r="H513" t="n">
        <x:v>17</x:v>
      </x:c>
      <x:c r="I513" t="n">
        <x:v>12</x:v>
      </x:c>
      <x:c r="J513" t="n">
        <x:v>16.5</x:v>
      </x:c>
      <x:c r="K513" t="n">
        <x:v>67.5</x:v>
      </x:c>
      <x:c r="L513" t="str">
        <x:v>ASK</x:v>
      </x:c>
      <x:c r="M513" t="str">
        <x:v>△ᛏ + ▽∅ + △ + ◎?</x:v>
      </x:c>
      <x:c r="N513" t="str">
        <x:v>K(Heavy opener) with Br(Heavy receiver): ASK in model.</x:v>
      </x:c>
    </x:row>
    <x:row r="514">
      <x:c r="A514" t="str">
        <x:v>K</x:v>
      </x:c>
      <x:c r="B514" t="str">
        <x:v>Kr</x:v>
      </x:c>
      <x:c r="C514" t="str">
        <x:v>Heavy opener</x:v>
      </x:c>
      <x:c r="D514" t="str">
        <x:v>Closed Gate light</x:v>
      </x:c>
      <x:c r="E514" t="str">
        <x:v>△ᛏ</x:v>
      </x:c>
      <x:c r="F514" t="str">
        <x:v>◎✓</x:v>
      </x:c>
      <x:c r="G514" t="n">
        <x:v>2.6</x:v>
      </x:c>
      <x:c r="H514" t="n">
        <x:v>8</x:v>
      </x:c>
      <x:c r="I514" t="n">
        <x:v>7</x:v>
      </x:c>
      <x:c r="J514" t="n">
        <x:v>24.5</x:v>
      </x:c>
      <x:c r="K514" t="n">
        <x:v>28.1</x:v>
      </x:c>
      <x:c r="L514" t="str">
        <x:v>HOLD</x:v>
      </x:c>
      <x:c r="M514" t="str">
        <x:v>△ᛏ + ◎✓ + △ + HOLD</x:v>
      </x:c>
      <x:c r="N514" t="str">
        <x:v>K(Heavy opener) with Kr(Closed Gate light): HOLD in model.</x:v>
      </x:c>
    </x:row>
    <x:row r="515">
      <x:c r="A515" t="str">
        <x:v>Ca</x:v>
      </x:c>
      <x:c r="B515" t="str">
        <x:v>Ca</x:v>
      </x:c>
      <x:c r="C515" t="str">
        <x:v>Tank structure</x:v>
      </x:c>
      <x:c r="D515" t="str">
        <x:v>Tank structure</x:v>
      </x:c>
      <x:c r="E515" t="str">
        <x:v>ᛉ□</x:v>
      </x:c>
      <x:c r="F515" t="str">
        <x:v>ᛉ□</x:v>
      </x:c>
      <x:c r="G515" t="n">
        <x:v>15</x:v>
      </x:c>
      <x:c r="H515" t="n">
        <x:v>20</x:v>
      </x:c>
      <x:c r="I515" t="n">
        <x:v>6</x:v>
      </x:c>
      <x:c r="J515" t="n">
        <x:v>25</x:v>
      </x:c>
      <x:c r="K515" t="n">
        <x:v>54</x:v>
      </x:c>
      <x:c r="L515" t="str">
        <x:v>REPAIR</x:v>
      </x:c>
      <x:c r="M515" t="str">
        <x:v>ᛉ□ + ᛉ□ + △ + ↺</x:v>
      </x:c>
      <x:c r="N515" t="str">
        <x:v>Ca(Tank structure) with Ca(Tank structure): REPAIR in model.</x:v>
      </x:c>
    </x:row>
    <x:row r="516">
      <x:c r="A516" t="str">
        <x:v>Ca</x:v>
      </x:c>
      <x:c r="B516" t="str">
        <x:v>Sc</x:v>
      </x:c>
      <x:c r="C516" t="str">
        <x:v>Tank structure</x:v>
      </x:c>
      <x:c r="D516" t="str">
        <x:v>Transition bridge</x:v>
      </x:c>
      <x:c r="E516" t="str">
        <x:v>ᛉ□</x:v>
      </x:c>
      <x:c r="F516" t="str">
        <x:v>↺□</x:v>
      </x:c>
      <x:c r="G516" t="n">
        <x:v>17.4</x:v>
      </x:c>
      <x:c r="H516" t="n">
        <x:v>19</x:v>
      </x:c>
      <x:c r="I516" t="n">
        <x:v>6</x:v>
      </x:c>
      <x:c r="J516" t="n">
        <x:v>24.5</x:v>
      </x:c>
      <x:c r="K516" t="n">
        <x:v>54.9</x:v>
      </x:c>
      <x:c r="L516" t="str">
        <x:v>REPAIR</x:v>
      </x:c>
      <x:c r="M516" t="str">
        <x:v>ᛉ□ + ↺□ + △ + ↺</x:v>
      </x:c>
      <x:c r="N516" t="str">
        <x:v>Ca(Tank structure) with Sc(Transition bridge): REPAIR in model.</x:v>
      </x:c>
    </x:row>
    <x:row r="517">
      <x:c r="A517" t="str">
        <x:v>Ca</x:v>
      </x:c>
      <x:c r="B517" t="str">
        <x:v>Ti</x:v>
      </x:c>
      <x:c r="C517" t="str">
        <x:v>Tank structure</x:v>
      </x:c>
      <x:c r="D517" t="str">
        <x:v>Strong structure</x:v>
      </x:c>
      <x:c r="E517" t="str">
        <x:v>ᛉ□</x:v>
      </x:c>
      <x:c r="F517" t="str">
        <x:v>ᛉ□</x:v>
      </x:c>
      <x:c r="G517" t="n">
        <x:v>17.4</x:v>
      </x:c>
      <x:c r="H517" t="n">
        <x:v>18</x:v>
      </x:c>
      <x:c r="I517" t="n">
        <x:v>5</x:v>
      </x:c>
      <x:c r="J517" t="n">
        <x:v>27.5</x:v>
      </x:c>
      <x:c r="K517" t="n">
        <x:v>57.9</x:v>
      </x:c>
      <x:c r="L517" t="str">
        <x:v>REPAIR</x:v>
      </x:c>
      <x:c r="M517" t="str">
        <x:v>ᛉ□ + ᛉ□ + △ + ↺</x:v>
      </x:c>
      <x:c r="N517" t="str">
        <x:v>Ca(Tank structure) with Ti(Strong structure): REPAIR in model.</x:v>
      </x:c>
    </x:row>
    <x:row r="518">
      <x:c r="A518" t="str">
        <x:v>Ca</x:v>
      </x:c>
      <x:c r="B518" t="str">
        <x:v>V</x:v>
      </x:c>
      <x:c r="C518" t="str">
        <x:v>Tank structure</x:v>
      </x:c>
      <x:c r="D518" t="str">
        <x:v>Multi-state gate</x:v>
      </x:c>
      <x:c r="E518" t="str">
        <x:v>ᛉ□</x:v>
      </x:c>
      <x:c r="F518" t="str">
        <x:v>◎↺</x:v>
      </x:c>
      <x:c r="G518" t="n">
        <x:v>21.6</x:v>
      </x:c>
      <x:c r="H518" t="n">
        <x:v>19</x:v>
      </x:c>
      <x:c r="I518" t="n">
        <x:v>7.5</x:v>
      </x:c>
      <x:c r="J518" t="n">
        <x:v>25</x:v>
      </x:c>
      <x:c r="K518" t="n">
        <x:v>58.1</x:v>
      </x:c>
      <x:c r="L518" t="str">
        <x:v>ASK</x:v>
      </x:c>
      <x:c r="M518" t="str">
        <x:v>ᛉ□ + ◎↺ + △ + ◎?</x:v>
      </x:c>
      <x:c r="N518" t="str">
        <x:v>Ca(Tank structure) with V(Multi-state gate): ASK in model.</x:v>
      </x:c>
    </x:row>
    <x:row r="519">
      <x:c r="A519" t="str">
        <x:v>Ca</x:v>
      </x:c>
      <x:c r="B519" t="str">
        <x:v>Cr</x:v>
      </x:c>
      <x:c r="C519" t="str">
        <x:v>Tank structure</x:v>
      </x:c>
      <x:c r="D519" t="str">
        <x:v>Surface guardian</x:v>
      </x:c>
      <x:c r="E519" t="str">
        <x:v>ᛉ□</x:v>
      </x:c>
      <x:c r="F519" t="str">
        <x:v>ᛉ◎</x:v>
      </x:c>
      <x:c r="G519" t="n">
        <x:v>21</x:v>
      </x:c>
      <x:c r="H519" t="n">
        <x:v>19</x:v>
      </x:c>
      <x:c r="I519" t="n">
        <x:v>6.5</x:v>
      </x:c>
      <x:c r="J519" t="n">
        <x:v>27.5</x:v>
      </x:c>
      <x:c r="K519" t="n">
        <x:v>61</x:v>
      </x:c>
      <x:c r="L519" t="str">
        <x:v>ASK</x:v>
      </x:c>
      <x:c r="M519" t="str">
        <x:v>ᛉ□ + ᛉ◎ + △ + ◎?</x:v>
      </x:c>
      <x:c r="N519" t="str">
        <x:v>Ca(Tank structure) with Cr(Surface guardian): ASK in model.</x:v>
      </x:c>
    </x:row>
    <x:row r="520">
      <x:c r="A520" t="str">
        <x:v>Ca</x:v>
      </x:c>
      <x:c r="B520" t="str">
        <x:v>Mn</x:v>
      </x:c>
      <x:c r="C520" t="str">
        <x:v>Tank structure</x:v>
      </x:c>
      <x:c r="D520" t="str">
        <x:v>Redox archer</x:v>
      </x:c>
      <x:c r="E520" t="str">
        <x:v>ᛉ□</x:v>
      </x:c>
      <x:c r="F520" t="str">
        <x:v>ᛏ↺</x:v>
      </x:c>
      <x:c r="G520" t="n">
        <x:v>25.9</x:v>
      </x:c>
      <x:c r="H520" t="n">
        <x:v>17</x:v>
      </x:c>
      <x:c r="I520" t="n">
        <x:v>8.5</x:v>
      </x:c>
      <x:c r="J520" t="n">
        <x:v>23.5</x:v>
      </x:c>
      <x:c r="K520" t="n">
        <x:v>57.9</x:v>
      </x:c>
      <x:c r="L520" t="str">
        <x:v>REPAIR</x:v>
      </x:c>
      <x:c r="M520" t="str">
        <x:v>ᛉ□ + ᛏ↺ + △ + ↺</x:v>
      </x:c>
      <x:c r="N520" t="str">
        <x:v>Ca(Tank structure) with Mn(Redox archer): REPAIR in model.</x:v>
      </x:c>
    </x:row>
    <x:row r="521">
      <x:c r="A521" t="str">
        <x:v>Ca</x:v>
      </x:c>
      <x:c r="B521" t="str">
        <x:v>Fe</x:v>
      </x:c>
      <x:c r="C521" t="str">
        <x:v>Tank structure</x:v>
      </x:c>
      <x:c r="D521" t="str">
        <x:v>Tank memory</x:v>
      </x:c>
      <x:c r="E521" t="str">
        <x:v>ᛉ□</x:v>
      </x:c>
      <x:c r="F521" t="str">
        <x:v>ᛉ◉</x:v>
      </x:c>
      <x:c r="G521" t="n">
        <x:v>24.6</x:v>
      </x:c>
      <x:c r="H521" t="n">
        <x:v>18</x:v>
      </x:c>
      <x:c r="I521" t="n">
        <x:v>6.5</x:v>
      </x:c>
      <x:c r="J521" t="n">
        <x:v>26.5</x:v>
      </x:c>
      <x:c r="K521" t="n">
        <x:v>62.6</x:v>
      </x:c>
      <x:c r="L521" t="str">
        <x:v>ASK</x:v>
      </x:c>
      <x:c r="M521" t="str">
        <x:v>ᛉ□ + ᛉ◉ + △ + ◎?</x:v>
      </x:c>
      <x:c r="N521" t="str">
        <x:v>Ca(Tank structure) with Fe(Tank memory): ASK in model.</x:v>
      </x:c>
    </x:row>
    <x:row r="522">
      <x:c r="A522" t="str">
        <x:v>Ca</x:v>
      </x:c>
      <x:c r="B522" t="str">
        <x:v>Co</x:v>
      </x:c>
      <x:c r="C522" t="str">
        <x:v>Tank structure</x:v>
      </x:c>
      <x:c r="D522" t="str">
        <x:v>Magnetic bridge</x:v>
      </x:c>
      <x:c r="E522" t="str">
        <x:v>ᛉ□</x:v>
      </x:c>
      <x:c r="F522" t="str">
        <x:v>◉ᛉ</x:v>
      </x:c>
      <x:c r="G522" t="n">
        <x:v>22.5</x:v>
      </x:c>
      <x:c r="H522" t="n">
        <x:v>19</x:v>
      </x:c>
      <x:c r="I522" t="n">
        <x:v>6.5</x:v>
      </x:c>
      <x:c r="J522" t="n">
        <x:v>26</x:v>
      </x:c>
      <x:c r="K522" t="n">
        <x:v>61</x:v>
      </x:c>
      <x:c r="L522" t="str">
        <x:v>ASK</x:v>
      </x:c>
      <x:c r="M522" t="str">
        <x:v>ᛉ□ + ◉ᛉ + △ + ◎?</x:v>
      </x:c>
      <x:c r="N522" t="str">
        <x:v>Ca(Tank structure) with Co(Magnetic bridge): ASK in model.</x:v>
      </x:c>
    </x:row>
    <x:row r="523">
      <x:c r="A523" t="str">
        <x:v>Ca</x:v>
      </x:c>
      <x:c r="B523" t="str">
        <x:v>Ni</x:v>
      </x:c>
      <x:c r="C523" t="str">
        <x:v>Tank structure</x:v>
      </x:c>
      <x:c r="D523" t="str">
        <x:v>Catalytic guard</x:v>
      </x:c>
      <x:c r="E523" t="str">
        <x:v>ᛉ□</x:v>
      </x:c>
      <x:c r="F523" t="str">
        <x:v>◎↺</x:v>
      </x:c>
      <x:c r="G523" t="n">
        <x:v>23.4</x:v>
      </x:c>
      <x:c r="H523" t="n">
        <x:v>19</x:v>
      </x:c>
      <x:c r="I523" t="n">
        <x:v>6</x:v>
      </x:c>
      <x:c r="J523" t="n">
        <x:v>27</x:v>
      </x:c>
      <x:c r="K523" t="n">
        <x:v>63.4</x:v>
      </x:c>
      <x:c r="L523" t="str">
        <x:v>ASK</x:v>
      </x:c>
      <x:c r="M523" t="str">
        <x:v>ᛉ□ + ◎↺ + △ + ◎?</x:v>
      </x:c>
      <x:c r="N523" t="str">
        <x:v>Ca(Tank structure) with Ni(Catalytic guard): ASK in model.</x:v>
      </x:c>
    </x:row>
    <x:row r="524">
      <x:c r="A524" t="str">
        <x:v>Ca</x:v>
      </x:c>
      <x:c r="B524" t="str">
        <x:v>Cu</x:v>
      </x:c>
      <x:c r="C524" t="str">
        <x:v>Tank structure</x:v>
      </x:c>
      <x:c r="D524" t="str">
        <x:v>Conductor flow</x:v>
      </x:c>
      <x:c r="E524" t="str">
        <x:v>ᛉ□</x:v>
      </x:c>
      <x:c r="F524" t="str">
        <x:v>↺ᛏ</x:v>
      </x:c>
      <x:c r="G524" t="n">
        <x:v>24</x:v>
      </x:c>
      <x:c r="H524" t="n">
        <x:v>19</x:v>
      </x:c>
      <x:c r="I524" t="n">
        <x:v>5.5</x:v>
      </x:c>
      <x:c r="J524" t="n">
        <x:v>26</x:v>
      </x:c>
      <x:c r="K524" t="n">
        <x:v>63.5</x:v>
      </x:c>
      <x:c r="L524" t="str">
        <x:v>ASK</x:v>
      </x:c>
      <x:c r="M524" t="str">
        <x:v>ᛉ□ + ↺ᛏ + △ + ◎?</x:v>
      </x:c>
      <x:c r="N524" t="str">
        <x:v>Ca(Tank structure) with Cu(Conductor flow): ASK in model.</x:v>
      </x:c>
    </x:row>
    <x:row r="525">
      <x:c r="A525" t="str">
        <x:v>Ca</x:v>
      </x:c>
      <x:c r="B525" t="str">
        <x:v>Zn</x:v>
      </x:c>
      <x:c r="C525" t="str">
        <x:v>Tank structure</x:v>
      </x:c>
      <x:c r="D525" t="str">
        <x:v>Enzyme stabilizer</x:v>
      </x:c>
      <x:c r="E525" t="str">
        <x:v>ᛉ□</x:v>
      </x:c>
      <x:c r="F525" t="str">
        <x:v>◎□</x:v>
      </x:c>
      <x:c r="G525" t="n">
        <x:v>18.5</x:v>
      </x:c>
      <x:c r="H525" t="n">
        <x:v>19</x:v>
      </x:c>
      <x:c r="I525" t="n">
        <x:v>5</x:v>
      </x:c>
      <x:c r="J525" t="n">
        <x:v>29</x:v>
      </x:c>
      <x:c r="K525" t="n">
        <x:v>61.5</x:v>
      </x:c>
      <x:c r="L525" t="str">
        <x:v>ASK</x:v>
      </x:c>
      <x:c r="M525" t="str">
        <x:v>ᛉ□ + ◎□ + △ + ◎?</x:v>
      </x:c>
      <x:c r="N525" t="str">
        <x:v>Ca(Tank structure) with Zn(Enzyme stabilizer): ASK in model.</x:v>
      </x:c>
    </x:row>
    <x:row r="526">
      <x:c r="A526" t="str">
        <x:v>Ca</x:v>
      </x:c>
      <x:c r="B526" t="str">
        <x:v>Ga</x:v>
      </x:c>
      <x:c r="C526" t="str">
        <x:v>Tank structure</x:v>
      </x:c>
      <x:c r="D526" t="str">
        <x:v>Soft form gate</x:v>
      </x:c>
      <x:c r="E526" t="str">
        <x:v>ᛉ□</x:v>
      </x:c>
      <x:c r="F526" t="str">
        <x:v>□↺</x:v>
      </x:c>
      <x:c r="G526" t="n">
        <x:v>17.6</x:v>
      </x:c>
      <x:c r="H526" t="n">
        <x:v>18</x:v>
      </x:c>
      <x:c r="I526" t="n">
        <x:v>6</x:v>
      </x:c>
      <x:c r="J526" t="n">
        <x:v>24</x:v>
      </x:c>
      <x:c r="K526" t="n">
        <x:v>53.6</x:v>
      </x:c>
      <x:c r="L526" t="str">
        <x:v>REPAIR</x:v>
      </x:c>
      <x:c r="M526" t="str">
        <x:v>ᛉ□ + □↺ + △ + ↺</x:v>
      </x:c>
      <x:c r="N526" t="str">
        <x:v>Ca(Tank structure) with Ga(Soft form gate): REPAIR in model.</x:v>
      </x:c>
    </x:row>
    <x:row r="527">
      <x:c r="A527" t="str">
        <x:v>Ca</x:v>
      </x:c>
      <x:c r="B527" t="str">
        <x:v>Ge</x:v>
      </x:c>
      <x:c r="C527" t="str">
        <x:v>Tank structure</x:v>
      </x:c>
      <x:c r="D527" t="str">
        <x:v>Semi lattice</x:v>
      </x:c>
      <x:c r="E527" t="str">
        <x:v>ᛉ□</x:v>
      </x:c>
      <x:c r="F527" t="str">
        <x:v>□◎</x:v>
      </x:c>
      <x:c r="G527" t="n">
        <x:v>18.5</x:v>
      </x:c>
      <x:c r="H527" t="n">
        <x:v>19</x:v>
      </x:c>
      <x:c r="I527" t="n">
        <x:v>5.5</x:v>
      </x:c>
      <x:c r="J527" t="n">
        <x:v>26.5</x:v>
      </x:c>
      <x:c r="K527" t="n">
        <x:v>58.5</x:v>
      </x:c>
      <x:c r="L527" t="str">
        <x:v>ASK</x:v>
      </x:c>
      <x:c r="M527" t="str">
        <x:v>ᛉ□ + □◎ + △ + ◎?</x:v>
      </x:c>
      <x:c r="N527" t="str">
        <x:v>Ca(Tank structure) with Ge(Semi lattice): ASK in model.</x:v>
      </x:c>
    </x:row>
    <x:row r="528">
      <x:c r="A528" t="str">
        <x:v>Ca</x:v>
      </x:c>
      <x:c r="B528" t="str">
        <x:v>As</x:v>
      </x:c>
      <x:c r="C528" t="str">
        <x:v>Tank structure</x:v>
      </x:c>
      <x:c r="D528" t="str">
        <x:v>Shadow gate</x:v>
      </x:c>
      <x:c r="E528" t="str">
        <x:v>ᛉ□</x:v>
      </x:c>
      <x:c r="F528" t="str">
        <x:v>∅◎</x:v>
      </x:c>
      <x:c r="G528" t="n">
        <x:v>22.8</x:v>
      </x:c>
      <x:c r="H528" t="n">
        <x:v>17</x:v>
      </x:c>
      <x:c r="I528" t="n">
        <x:v>10.5</x:v>
      </x:c>
      <x:c r="J528" t="n">
        <x:v>21.5</x:v>
      </x:c>
      <x:c r="K528" t="n">
        <x:v>50.8</x:v>
      </x:c>
      <x:c r="L528" t="str">
        <x:v>REPAIR</x:v>
      </x:c>
      <x:c r="M528" t="str">
        <x:v>ᛉ□ + ∅◎ + △ + ↺</x:v>
      </x:c>
      <x:c r="N528" t="str">
        <x:v>Ca(Tank structure) with As(Shadow gate): REPAIR in model.</x:v>
      </x:c>
    </x:row>
    <x:row r="529">
      <x:c r="A529" t="str">
        <x:v>Ca</x:v>
      </x:c>
      <x:c r="B529" t="str">
        <x:v>Se</x:v>
      </x:c>
      <x:c r="C529" t="str">
        <x:v>Tank structure</x:v>
      </x:c>
      <x:c r="D529" t="str">
        <x:v>Trace healer</x:v>
      </x:c>
      <x:c r="E529" t="str">
        <x:v>ᛉ□</x:v>
      </x:c>
      <x:c r="F529" t="str">
        <x:v>↺◉</x:v>
      </x:c>
      <x:c r="G529" t="n">
        <x:v>25.1</x:v>
      </x:c>
      <x:c r="H529" t="n">
        <x:v>17</x:v>
      </x:c>
      <x:c r="I529" t="n">
        <x:v>7</x:v>
      </x:c>
      <x:c r="J529" t="n">
        <x:v>25</x:v>
      </x:c>
      <x:c r="K529" t="n">
        <x:v>60.1</x:v>
      </x:c>
      <x:c r="L529" t="str">
        <x:v>ASK</x:v>
      </x:c>
      <x:c r="M529" t="str">
        <x:v>ᛉ□ + ↺◉ + △ + ◎?</x:v>
      </x:c>
      <x:c r="N529" t="str">
        <x:v>Ca(Tank structure) with Se(Trace healer): ASK in model.</x:v>
      </x:c>
    </x:row>
    <x:row r="530">
      <x:c r="A530" t="str">
        <x:v>Ca</x:v>
      </x:c>
      <x:c r="B530" t="str">
        <x:v>Br</x:v>
      </x:c>
      <x:c r="C530" t="str">
        <x:v>Tank structure</x:v>
      </x:c>
      <x:c r="D530" t="str">
        <x:v>Heavy receiver</x:v>
      </x:c>
      <x:c r="E530" t="str">
        <x:v>ᛉ□</x:v>
      </x:c>
      <x:c r="F530" t="str">
        <x:v>▽∅</x:v>
      </x:c>
      <x:c r="G530" t="n">
        <x:v>35.1</x:v>
      </x:c>
      <x:c r="H530" t="n">
        <x:v>13</x:v>
      </x:c>
      <x:c r="I530" t="n">
        <x:v>8.5</x:v>
      </x:c>
      <x:c r="J530" t="n">
        <x:v>24</x:v>
      </x:c>
      <x:c r="K530" t="n">
        <x:v>63.6</x:v>
      </x:c>
      <x:c r="L530" t="str">
        <x:v>ASK</x:v>
      </x:c>
      <x:c r="M530" t="str">
        <x:v>ᛉ□ + ▽∅ + △ + ◎?</x:v>
      </x:c>
      <x:c r="N530" t="str">
        <x:v>Ca(Tank structure) with Br(Heavy receiver): ASK in model.</x:v>
      </x:c>
    </x:row>
    <x:row r="531">
      <x:c r="A531" t="str">
        <x:v>Ca</x:v>
      </x:c>
      <x:c r="B531" t="str">
        <x:v>Kr</x:v>
      </x:c>
      <x:c r="C531" t="str">
        <x:v>Tank structure</x:v>
      </x:c>
      <x:c r="D531" t="str">
        <x:v>Closed Gate light</x:v>
      </x:c>
      <x:c r="E531" t="str">
        <x:v>ᛉ□</x:v>
      </x:c>
      <x:c r="F531" t="str">
        <x:v>◎✓</x:v>
      </x:c>
      <x:c r="G531" t="n">
        <x:v>2.1</x:v>
      </x:c>
      <x:c r="H531" t="n">
        <x:v>18</x:v>
      </x:c>
      <x:c r="I531" t="n">
        <x:v>3.5</x:v>
      </x:c>
      <x:c r="J531" t="n">
        <x:v>32</x:v>
      </x:c>
      <x:c r="K531" t="n">
        <x:v>48.6</x:v>
      </x:c>
      <x:c r="L531" t="str">
        <x:v>REPAIR</x:v>
      </x:c>
      <x:c r="M531" t="str">
        <x:v>ᛉ□ + ◎✓ + △ + ↺</x:v>
      </x:c>
      <x:c r="N531" t="str">
        <x:v>Ca(Tank structure) with Kr(Closed Gate light): REPAIR in model.</x:v>
      </x:c>
    </x:row>
    <x:row r="532">
      <x:c r="A532" t="str">
        <x:v>Sc</x:v>
      </x:c>
      <x:c r="B532" t="str">
        <x:v>Sc</x:v>
      </x:c>
      <x:c r="C532" t="str">
        <x:v>Transition bridge</x:v>
      </x:c>
      <x:c r="D532" t="str">
        <x:v>Transition bridge</x:v>
      </x:c>
      <x:c r="E532" t="str">
        <x:v>↺□</x:v>
      </x:c>
      <x:c r="F532" t="str">
        <x:v>↺□</x:v>
      </x:c>
      <x:c r="G532" t="n">
        <x:v>19.2</x:v>
      </x:c>
      <x:c r="H532" t="n">
        <x:v>20</x:v>
      </x:c>
      <x:c r="I532" t="n">
        <x:v>6</x:v>
      </x:c>
      <x:c r="J532" t="n">
        <x:v>24</x:v>
      </x:c>
      <x:c r="K532" t="n">
        <x:v>57.2</x:v>
      </x:c>
      <x:c r="L532" t="str">
        <x:v>REPAIR</x:v>
      </x:c>
      <x:c r="M532" t="str">
        <x:v>↺□ + ↺□ + △ + ↺</x:v>
      </x:c>
      <x:c r="N532" t="str">
        <x:v>Sc(Transition bridge) with Sc(Transition bridge): REPAIR in model.</x:v>
      </x:c>
    </x:row>
    <x:row r="533">
      <x:c r="A533" t="str">
        <x:v>Sc</x:v>
      </x:c>
      <x:c r="B533" t="str">
        <x:v>Ti</x:v>
      </x:c>
      <x:c r="C533" t="str">
        <x:v>Transition bridge</x:v>
      </x:c>
      <x:c r="D533" t="str">
        <x:v>Strong structure</x:v>
      </x:c>
      <x:c r="E533" t="str">
        <x:v>↺□</x:v>
      </x:c>
      <x:c r="F533" t="str">
        <x:v>ᛉ□</x:v>
      </x:c>
      <x:c r="G533" t="n">
        <x:v>19.2</x:v>
      </x:c>
      <x:c r="H533" t="n">
        <x:v>17</x:v>
      </x:c>
      <x:c r="I533" t="n">
        <x:v>5</x:v>
      </x:c>
      <x:c r="J533" t="n">
        <x:v>27</x:v>
      </x:c>
      <x:c r="K533" t="n">
        <x:v>58.2</x:v>
      </x:c>
      <x:c r="L533" t="str">
        <x:v>ASK</x:v>
      </x:c>
      <x:c r="M533" t="str">
        <x:v>↺□ + ᛉ□ + △ + ◎?</x:v>
      </x:c>
      <x:c r="N533" t="str">
        <x:v>Sc(Transition bridge) with Ti(Strong structure): ASK in model.</x:v>
      </x:c>
    </x:row>
    <x:row r="534">
      <x:c r="A534" t="str">
        <x:v>Sc</x:v>
      </x:c>
      <x:c r="B534" t="str">
        <x:v>V</x:v>
      </x:c>
      <x:c r="C534" t="str">
        <x:v>Transition bridge</x:v>
      </x:c>
      <x:c r="D534" t="str">
        <x:v>Multi-state gate</x:v>
      </x:c>
      <x:c r="E534" t="str">
        <x:v>↺□</x:v>
      </x:c>
      <x:c r="F534" t="str">
        <x:v>◎↺</x:v>
      </x:c>
      <x:c r="G534" t="n">
        <x:v>23.8</x:v>
      </x:c>
      <x:c r="H534" t="n">
        <x:v>20</x:v>
      </x:c>
      <x:c r="I534" t="n">
        <x:v>7.5</x:v>
      </x:c>
      <x:c r="J534" t="n">
        <x:v>24.5</x:v>
      </x:c>
      <x:c r="K534" t="n">
        <x:v>60.8</x:v>
      </x:c>
      <x:c r="L534" t="str">
        <x:v>ASK</x:v>
      </x:c>
      <x:c r="M534" t="str">
        <x:v>↺□ + ◎↺ + △ + ◎?</x:v>
      </x:c>
      <x:c r="N534" t="str">
        <x:v>Sc(Transition bridge) with V(Multi-state gate): ASK in model.</x:v>
      </x:c>
    </x:row>
    <x:row r="535">
      <x:c r="A535" t="str">
        <x:v>Sc</x:v>
      </x:c>
      <x:c r="B535" t="str">
        <x:v>Cr</x:v>
      </x:c>
      <x:c r="C535" t="str">
        <x:v>Transition bridge</x:v>
      </x:c>
      <x:c r="D535" t="str">
        <x:v>Surface guardian</x:v>
      </x:c>
      <x:c r="E535" t="str">
        <x:v>↺□</x:v>
      </x:c>
      <x:c r="F535" t="str">
        <x:v>ᛉ◎</x:v>
      </x:c>
      <x:c r="G535" t="n">
        <x:v>22.9</x:v>
      </x:c>
      <x:c r="H535" t="n">
        <x:v>18</x:v>
      </x:c>
      <x:c r="I535" t="n">
        <x:v>6.5</x:v>
      </x:c>
      <x:c r="J535" t="n">
        <x:v>27</x:v>
      </x:c>
      <x:c r="K535" t="n">
        <x:v>61.4</x:v>
      </x:c>
      <x:c r="L535" t="str">
        <x:v>ASK</x:v>
      </x:c>
      <x:c r="M535" t="str">
        <x:v>↺□ + ᛉ◎ + △ + ◎?</x:v>
      </x:c>
      <x:c r="N535" t="str">
        <x:v>Sc(Transition bridge) with Cr(Surface guardian): ASK in model.</x:v>
      </x:c>
    </x:row>
    <x:row r="536">
      <x:c r="A536" t="str">
        <x:v>Sc</x:v>
      </x:c>
      <x:c r="B536" t="str">
        <x:v>Mn</x:v>
      </x:c>
      <x:c r="C536" t="str">
        <x:v>Transition bridge</x:v>
      </x:c>
      <x:c r="D536" t="str">
        <x:v>Redox archer</x:v>
      </x:c>
      <x:c r="E536" t="str">
        <x:v>↺□</x:v>
      </x:c>
      <x:c r="F536" t="str">
        <x:v>ᛏ↺</x:v>
      </x:c>
      <x:c r="G536" t="n">
        <x:v>28.2</x:v>
      </x:c>
      <x:c r="H536" t="n">
        <x:v>18</x:v>
      </x:c>
      <x:c r="I536" t="n">
        <x:v>8.5</x:v>
      </x:c>
      <x:c r="J536" t="n">
        <x:v>23</x:v>
      </x:c>
      <x:c r="K536" t="n">
        <x:v>60.7</x:v>
      </x:c>
      <x:c r="L536" t="str">
        <x:v>ASK</x:v>
      </x:c>
      <x:c r="M536" t="str">
        <x:v>↺□ + ᛏ↺ + △ + ◎?</x:v>
      </x:c>
      <x:c r="N536" t="str">
        <x:v>Sc(Transition bridge) with Mn(Redox archer): ASK in model.</x:v>
      </x:c>
    </x:row>
    <x:row r="537">
      <x:c r="A537" t="str">
        <x:v>Sc</x:v>
      </x:c>
      <x:c r="B537" t="str">
        <x:v>Fe</x:v>
      </x:c>
      <x:c r="C537" t="str">
        <x:v>Transition bridge</x:v>
      </x:c>
      <x:c r="D537" t="str">
        <x:v>Tank memory</x:v>
      </x:c>
      <x:c r="E537" t="str">
        <x:v>↺□</x:v>
      </x:c>
      <x:c r="F537" t="str">
        <x:v>ᛉ◉</x:v>
      </x:c>
      <x:c r="G537" t="n">
        <x:v>26.5</x:v>
      </x:c>
      <x:c r="H537" t="n">
        <x:v>17</x:v>
      </x:c>
      <x:c r="I537" t="n">
        <x:v>6.5</x:v>
      </x:c>
      <x:c r="J537" t="n">
        <x:v>26</x:v>
      </x:c>
      <x:c r="K537" t="n">
        <x:v>63</x:v>
      </x:c>
      <x:c r="L537" t="str">
        <x:v>ASK</x:v>
      </x:c>
      <x:c r="M537" t="str">
        <x:v>↺□ + ᛉ◉ + △ + ◎?</x:v>
      </x:c>
      <x:c r="N537" t="str">
        <x:v>Sc(Transition bridge) with Fe(Tank memory): ASK in model.</x:v>
      </x:c>
    </x:row>
    <x:row r="538">
      <x:c r="A538" t="str">
        <x:v>Sc</x:v>
      </x:c>
      <x:c r="B538" t="str">
        <x:v>Co</x:v>
      </x:c>
      <x:c r="C538" t="str">
        <x:v>Transition bridge</x:v>
      </x:c>
      <x:c r="D538" t="str">
        <x:v>Magnetic bridge</x:v>
      </x:c>
      <x:c r="E538" t="str">
        <x:v>↺□</x:v>
      </x:c>
      <x:c r="F538" t="str">
        <x:v>◉ᛉ</x:v>
      </x:c>
      <x:c r="G538" t="n">
        <x:v>24.2</x:v>
      </x:c>
      <x:c r="H538" t="n">
        <x:v>18</x:v>
      </x:c>
      <x:c r="I538" t="n">
        <x:v>6.5</x:v>
      </x:c>
      <x:c r="J538" t="n">
        <x:v>25.5</x:v>
      </x:c>
      <x:c r="K538" t="n">
        <x:v>61.2</x:v>
      </x:c>
      <x:c r="L538" t="str">
        <x:v>ASK</x:v>
      </x:c>
      <x:c r="M538" t="str">
        <x:v>↺□ + ◉ᛉ + △ + ◎?</x:v>
      </x:c>
      <x:c r="N538" t="str">
        <x:v>Sc(Transition bridge) with Co(Magnetic bridge): ASK in model.</x:v>
      </x:c>
    </x:row>
    <x:row r="539">
      <x:c r="A539" t="str">
        <x:v>Sc</x:v>
      </x:c>
      <x:c r="B539" t="str">
        <x:v>Ni</x:v>
      </x:c>
      <x:c r="C539" t="str">
        <x:v>Transition bridge</x:v>
      </x:c>
      <x:c r="D539" t="str">
        <x:v>Catalytic guard</x:v>
      </x:c>
      <x:c r="E539" t="str">
        <x:v>↺□</x:v>
      </x:c>
      <x:c r="F539" t="str">
        <x:v>◎↺</x:v>
      </x:c>
      <x:c r="G539" t="n">
        <x:v>24.8</x:v>
      </x:c>
      <x:c r="H539" t="n">
        <x:v>18</x:v>
      </x:c>
      <x:c r="I539" t="n">
        <x:v>6</x:v>
      </x:c>
      <x:c r="J539" t="n">
        <x:v>26.5</x:v>
      </x:c>
      <x:c r="K539" t="n">
        <x:v>63.3</x:v>
      </x:c>
      <x:c r="L539" t="str">
        <x:v>ASK</x:v>
      </x:c>
      <x:c r="M539" t="str">
        <x:v>↺□ + ◎↺ + △ + ◎?</x:v>
      </x:c>
      <x:c r="N539" t="str">
        <x:v>Sc(Transition bridge) with Ni(Catalytic guard): ASK in model.</x:v>
      </x:c>
    </x:row>
    <x:row r="540">
      <x:c r="A540" t="str">
        <x:v>Sc</x:v>
      </x:c>
      <x:c r="B540" t="str">
        <x:v>Cu</x:v>
      </x:c>
      <x:c r="C540" t="str">
        <x:v>Transition bridge</x:v>
      </x:c>
      <x:c r="D540" t="str">
        <x:v>Conductor flow</x:v>
      </x:c>
      <x:c r="E540" t="str">
        <x:v>↺□</x:v>
      </x:c>
      <x:c r="F540" t="str">
        <x:v>↺ᛏ</x:v>
      </x:c>
      <x:c r="G540" t="n">
        <x:v>25.6</x:v>
      </x:c>
      <x:c r="H540" t="n">
        <x:v>20</x:v>
      </x:c>
      <x:c r="I540" t="n">
        <x:v>5.5</x:v>
      </x:c>
      <x:c r="J540" t="n">
        <x:v>25.5</x:v>
      </x:c>
      <x:c r="K540" t="n">
        <x:v>65.6</x:v>
      </x:c>
      <x:c r="L540" t="str">
        <x:v>ASK</x:v>
      </x:c>
      <x:c r="M540" t="str">
        <x:v>↺□ + ↺ᛏ + △ + ◎?</x:v>
      </x:c>
      <x:c r="N540" t="str">
        <x:v>Sc(Transition bridge) with Cu(Conductor flow): ASK in model.</x:v>
      </x:c>
    </x:row>
    <x:row r="541">
      <x:c r="A541" t="str">
        <x:v>Sc</x:v>
      </x:c>
      <x:c r="B541" t="str">
        <x:v>Zn</x:v>
      </x:c>
      <x:c r="C541" t="str">
        <x:v>Transition bridge</x:v>
      </x:c>
      <x:c r="D541" t="str">
        <x:v>Enzyme stabilizer</x:v>
      </x:c>
      <x:c r="E541" t="str">
        <x:v>↺□</x:v>
      </x:c>
      <x:c r="F541" t="str">
        <x:v>◎□</x:v>
      </x:c>
      <x:c r="G541" t="n">
        <x:v>19.4</x:v>
      </x:c>
      <x:c r="H541" t="n">
        <x:v>18</x:v>
      </x:c>
      <x:c r="I541" t="n">
        <x:v>5</x:v>
      </x:c>
      <x:c r="J541" t="n">
        <x:v>28.5</x:v>
      </x:c>
      <x:c r="K541" t="n">
        <x:v>60.9</x:v>
      </x:c>
      <x:c r="L541" t="str">
        <x:v>ASK</x:v>
      </x:c>
      <x:c r="M541" t="str">
        <x:v>↺□ + ◎□ + △ + ◎?</x:v>
      </x:c>
      <x:c r="N541" t="str">
        <x:v>Sc(Transition bridge) with Zn(Enzyme stabilizer): ASK in model.</x:v>
      </x:c>
    </x:row>
    <x:row r="542">
      <x:c r="A542" t="str">
        <x:v>Sc</x:v>
      </x:c>
      <x:c r="B542" t="str">
        <x:v>Ga</x:v>
      </x:c>
      <x:c r="C542" t="str">
        <x:v>Transition bridge</x:v>
      </x:c>
      <x:c r="D542" t="str">
        <x:v>Soft form gate</x:v>
      </x:c>
      <x:c r="E542" t="str">
        <x:v>↺□</x:v>
      </x:c>
      <x:c r="F542" t="str">
        <x:v>□↺</x:v>
      </x:c>
      <x:c r="G542" t="n">
        <x:v>18.9</x:v>
      </x:c>
      <x:c r="H542" t="n">
        <x:v>19</x:v>
      </x:c>
      <x:c r="I542" t="n">
        <x:v>6</x:v>
      </x:c>
      <x:c r="J542" t="n">
        <x:v>23.5</x:v>
      </x:c>
      <x:c r="K542" t="n">
        <x:v>55.4</x:v>
      </x:c>
      <x:c r="L542" t="str">
        <x:v>REPAIR</x:v>
      </x:c>
      <x:c r="M542" t="str">
        <x:v>↺□ + □↺ + △ + ↺</x:v>
      </x:c>
      <x:c r="N542" t="str">
        <x:v>Sc(Transition bridge) with Ga(Soft form gate): REPAIR in model.</x:v>
      </x:c>
    </x:row>
    <x:row r="543">
      <x:c r="A543" t="str">
        <x:v>Sc</x:v>
      </x:c>
      <x:c r="B543" t="str">
        <x:v>Ge</x:v>
      </x:c>
      <x:c r="C543" t="str">
        <x:v>Transition bridge</x:v>
      </x:c>
      <x:c r="D543" t="str">
        <x:v>Semi lattice</x:v>
      </x:c>
      <x:c r="E543" t="str">
        <x:v>↺□</x:v>
      </x:c>
      <x:c r="F543" t="str">
        <x:v>□◎</x:v>
      </x:c>
      <x:c r="G543" t="n">
        <x:v>19.4</x:v>
      </x:c>
      <x:c r="H543" t="n">
        <x:v>18</x:v>
      </x:c>
      <x:c r="I543" t="n">
        <x:v>5.5</x:v>
      </x:c>
      <x:c r="J543" t="n">
        <x:v>26</x:v>
      </x:c>
      <x:c r="K543" t="n">
        <x:v>57.9</x:v>
      </x:c>
      <x:c r="L543" t="str">
        <x:v>REPAIR</x:v>
      </x:c>
      <x:c r="M543" t="str">
        <x:v>↺□ + □◎ + △ + ↺</x:v>
      </x:c>
      <x:c r="N543" t="str">
        <x:v>Sc(Transition bridge) with Ge(Semi lattice): REPAIR in model.</x:v>
      </x:c>
    </x:row>
    <x:row r="544">
      <x:c r="A544" t="str">
        <x:v>Sc</x:v>
      </x:c>
      <x:c r="B544" t="str">
        <x:v>As</x:v>
      </x:c>
      <x:c r="C544" t="str">
        <x:v>Transition bridge</x:v>
      </x:c>
      <x:c r="D544" t="str">
        <x:v>Shadow gate</x:v>
      </x:c>
      <x:c r="E544" t="str">
        <x:v>↺□</x:v>
      </x:c>
      <x:c r="F544" t="str">
        <x:v>∅◎</x:v>
      </x:c>
      <x:c r="G544" t="n">
        <x:v>23.9</x:v>
      </x:c>
      <x:c r="H544" t="n">
        <x:v>18</x:v>
      </x:c>
      <x:c r="I544" t="n">
        <x:v>10.5</x:v>
      </x:c>
      <x:c r="J544" t="n">
        <x:v>21</x:v>
      </x:c>
      <x:c r="K544" t="n">
        <x:v>52.4</x:v>
      </x:c>
      <x:c r="L544" t="str">
        <x:v>REPAIR</x:v>
      </x:c>
      <x:c r="M544" t="str">
        <x:v>↺□ + ∅◎ + △ + ↺</x:v>
      </x:c>
      <x:c r="N544" t="str">
        <x:v>Sc(Transition bridge) with As(Shadow gate): REPAIR in model.</x:v>
      </x:c>
    </x:row>
    <x:row r="545">
      <x:c r="A545" t="str">
        <x:v>Sc</x:v>
      </x:c>
      <x:c r="B545" t="str">
        <x:v>Se</x:v>
      </x:c>
      <x:c r="C545" t="str">
        <x:v>Transition bridge</x:v>
      </x:c>
      <x:c r="D545" t="str">
        <x:v>Trace healer</x:v>
      </x:c>
      <x:c r="E545" t="str">
        <x:v>↺□</x:v>
      </x:c>
      <x:c r="F545" t="str">
        <x:v>↺◉</x:v>
      </x:c>
      <x:c r="G545" t="n">
        <x:v>25.8</x:v>
      </x:c>
      <x:c r="H545" t="n">
        <x:v>18</x:v>
      </x:c>
      <x:c r="I545" t="n">
        <x:v>7</x:v>
      </x:c>
      <x:c r="J545" t="n">
        <x:v>24.5</x:v>
      </x:c>
      <x:c r="K545" t="n">
        <x:v>61.3</x:v>
      </x:c>
      <x:c r="L545" t="str">
        <x:v>ASK</x:v>
      </x:c>
      <x:c r="M545" t="str">
        <x:v>↺□ + ↺◉ + △ + ◎?</x:v>
      </x:c>
      <x:c r="N545" t="str">
        <x:v>Sc(Transition bridge) with Se(Trace healer): ASK in model.</x:v>
      </x:c>
    </x:row>
    <x:row r="546">
      <x:c r="A546" t="str">
        <x:v>Sc</x:v>
      </x:c>
      <x:c r="B546" t="str">
        <x:v>Br</x:v>
      </x:c>
      <x:c r="C546" t="str">
        <x:v>Transition bridge</x:v>
      </x:c>
      <x:c r="D546" t="str">
        <x:v>Heavy receiver</x:v>
      </x:c>
      <x:c r="E546" t="str">
        <x:v>↺□</x:v>
      </x:c>
      <x:c r="F546" t="str">
        <x:v>▽∅</x:v>
      </x:c>
      <x:c r="G546" t="n">
        <x:v>36.1</x:v>
      </x:c>
      <x:c r="H546" t="n">
        <x:v>14</x:v>
      </x:c>
      <x:c r="I546" t="n">
        <x:v>8.5</x:v>
      </x:c>
      <x:c r="J546" t="n">
        <x:v>23.5</x:v>
      </x:c>
      <x:c r="K546" t="n">
        <x:v>65.1</x:v>
      </x:c>
      <x:c r="L546" t="str">
        <x:v>ASK</x:v>
      </x:c>
      <x:c r="M546" t="str">
        <x:v>↺□ + ▽∅ + △ + ◎?</x:v>
      </x:c>
      <x:c r="N546" t="str">
        <x:v>Sc(Transition bridge) with Br(Heavy receiver): ASK in model.</x:v>
      </x:c>
    </x:row>
    <x:row r="547">
      <x:c r="A547" t="str">
        <x:v>Sc</x:v>
      </x:c>
      <x:c r="B547" t="str">
        <x:v>Kr</x:v>
      </x:c>
      <x:c r="C547" t="str">
        <x:v>Transition bridge</x:v>
      </x:c>
      <x:c r="D547" t="str">
        <x:v>Closed Gate light</x:v>
      </x:c>
      <x:c r="E547" t="str">
        <x:v>↺□</x:v>
      </x:c>
      <x:c r="F547" t="str">
        <x:v>◎✓</x:v>
      </x:c>
      <x:c r="G547" t="n">
        <x:v>2.2</x:v>
      </x:c>
      <x:c r="H547" t="n">
        <x:v>17</x:v>
      </x:c>
      <x:c r="I547" t="n">
        <x:v>3.5</x:v>
      </x:c>
      <x:c r="J547" t="n">
        <x:v>31.5</x:v>
      </x:c>
      <x:c r="K547" t="n">
        <x:v>47.2</x:v>
      </x:c>
      <x:c r="L547" t="str">
        <x:v>REPAIR</x:v>
      </x:c>
      <x:c r="M547" t="str">
        <x:v>↺□ + ◎✓ + △ + ↺</x:v>
      </x:c>
      <x:c r="N547" t="str">
        <x:v>Sc(Transition bridge) with Kr(Closed Gate light): REPAIR in model.</x:v>
      </x:c>
    </x:row>
    <x:row r="548">
      <x:c r="A548" t="str">
        <x:v>Ti</x:v>
      </x:c>
      <x:c r="B548" t="str">
        <x:v>Ti</x:v>
      </x:c>
      <x:c r="C548" t="str">
        <x:v>Strong structure</x:v>
      </x:c>
      <x:c r="D548" t="str">
        <x:v>Strong structure</x:v>
      </x:c>
      <x:c r="E548" t="str">
        <x:v>ᛉ□</x:v>
      </x:c>
      <x:c r="F548" t="str">
        <x:v>ᛉ□</x:v>
      </x:c>
      <x:c r="G548" t="n">
        <x:v>19.2</x:v>
      </x:c>
      <x:c r="H548" t="n">
        <x:v>20</x:v>
      </x:c>
      <x:c r="I548" t="n">
        <x:v>4</x:v>
      </x:c>
      <x:c r="J548" t="n">
        <x:v>30</x:v>
      </x:c>
      <x:c r="K548" t="n">
        <x:v>65.2</x:v>
      </x:c>
      <x:c r="L548" t="str">
        <x:v>ASK</x:v>
      </x:c>
      <x:c r="M548" t="str">
        <x:v>ᛉ□ + ᛉ□ + △ + ◎?</x:v>
      </x:c>
      <x:c r="N548" t="str">
        <x:v>Ti(Strong structure) with Ti(Strong structure): ASK in model.</x:v>
      </x:c>
    </x:row>
    <x:row r="549">
      <x:c r="A549" t="str">
        <x:v>Ti</x:v>
      </x:c>
      <x:c r="B549" t="str">
        <x:v>V</x:v>
      </x:c>
      <x:c r="C549" t="str">
        <x:v>Strong structure</x:v>
      </x:c>
      <x:c r="D549" t="str">
        <x:v>Multi-state gate</x:v>
      </x:c>
      <x:c r="E549" t="str">
        <x:v>ᛉ□</x:v>
      </x:c>
      <x:c r="F549" t="str">
        <x:v>◎↺</x:v>
      </x:c>
      <x:c r="G549" t="n">
        <x:v>23.8</x:v>
      </x:c>
      <x:c r="H549" t="n">
        <x:v>17</x:v>
      </x:c>
      <x:c r="I549" t="n">
        <x:v>6.5</x:v>
      </x:c>
      <x:c r="J549" t="n">
        <x:v>27.5</x:v>
      </x:c>
      <x:c r="K549" t="n">
        <x:v>61.8</x:v>
      </x:c>
      <x:c r="L549" t="str">
        <x:v>ASK</x:v>
      </x:c>
      <x:c r="M549" t="str">
        <x:v>ᛉ□ + ◎↺ + △ + ◎?</x:v>
      </x:c>
      <x:c r="N549" t="str">
        <x:v>Ti(Strong structure) with V(Multi-state gate): ASK in model.</x:v>
      </x:c>
    </x:row>
    <x:row r="550">
      <x:c r="A550" t="str">
        <x:v>Ti</x:v>
      </x:c>
      <x:c r="B550" t="str">
        <x:v>Cr</x:v>
      </x:c>
      <x:c r="C550" t="str">
        <x:v>Strong structure</x:v>
      </x:c>
      <x:c r="D550" t="str">
        <x:v>Surface guardian</x:v>
      </x:c>
      <x:c r="E550" t="str">
        <x:v>ᛉ□</x:v>
      </x:c>
      <x:c r="F550" t="str">
        <x:v>ᛉ◎</x:v>
      </x:c>
      <x:c r="G550" t="n">
        <x:v>22.9</x:v>
      </x:c>
      <x:c r="H550" t="n">
        <x:v>19</x:v>
      </x:c>
      <x:c r="I550" t="n">
        <x:v>5.5</x:v>
      </x:c>
      <x:c r="J550" t="n">
        <x:v>30</x:v>
      </x:c>
      <x:c r="K550" t="n">
        <x:v>66.4</x:v>
      </x:c>
      <x:c r="L550" t="str">
        <x:v>ASK</x:v>
      </x:c>
      <x:c r="M550" t="str">
        <x:v>ᛉ□ + ᛉ◎ + △ + ◎?</x:v>
      </x:c>
      <x:c r="N550" t="str">
        <x:v>Ti(Strong structure) with Cr(Surface guardian): ASK in model.</x:v>
      </x:c>
    </x:row>
    <x:row r="551">
      <x:c r="A551" t="str">
        <x:v>Ti</x:v>
      </x:c>
      <x:c r="B551" t="str">
        <x:v>Mn</x:v>
      </x:c>
      <x:c r="C551" t="str">
        <x:v>Strong structure</x:v>
      </x:c>
      <x:c r="D551" t="str">
        <x:v>Redox archer</x:v>
      </x:c>
      <x:c r="E551" t="str">
        <x:v>ᛉ□</x:v>
      </x:c>
      <x:c r="F551" t="str">
        <x:v>ᛏ↺</x:v>
      </x:c>
      <x:c r="G551" t="n">
        <x:v>28.2</x:v>
      </x:c>
      <x:c r="H551" t="n">
        <x:v>15</x:v>
      </x:c>
      <x:c r="I551" t="n">
        <x:v>7.5</x:v>
      </x:c>
      <x:c r="J551" t="n">
        <x:v>26</x:v>
      </x:c>
      <x:c r="K551" t="n">
        <x:v>61.7</x:v>
      </x:c>
      <x:c r="L551" t="str">
        <x:v>ASK</x:v>
      </x:c>
      <x:c r="M551" t="str">
        <x:v>ᛉ□ + ᛏ↺ + △ + ◎?</x:v>
      </x:c>
      <x:c r="N551" t="str">
        <x:v>Ti(Strong structure) with Mn(Redox archer): ASK in model.</x:v>
      </x:c>
    </x:row>
    <x:row r="552">
      <x:c r="A552" t="str">
        <x:v>Ti</x:v>
      </x:c>
      <x:c r="B552" t="str">
        <x:v>Fe</x:v>
      </x:c>
      <x:c r="C552" t="str">
        <x:v>Strong structure</x:v>
      </x:c>
      <x:c r="D552" t="str">
        <x:v>Tank memory</x:v>
      </x:c>
      <x:c r="E552" t="str">
        <x:v>ᛉ□</x:v>
      </x:c>
      <x:c r="F552" t="str">
        <x:v>ᛉ◉</x:v>
      </x:c>
      <x:c r="G552" t="n">
        <x:v>26.5</x:v>
      </x:c>
      <x:c r="H552" t="n">
        <x:v>20</x:v>
      </x:c>
      <x:c r="I552" t="n">
        <x:v>5.5</x:v>
      </x:c>
      <x:c r="J552" t="n">
        <x:v>29</x:v>
      </x:c>
      <x:c r="K552" t="n">
        <x:v>70</x:v>
      </x:c>
      <x:c r="L552" t="str">
        <x:v>ASK</x:v>
      </x:c>
      <x:c r="M552" t="str">
        <x:v>ᛉ□ + ᛉ◉ + △ + ◎?</x:v>
      </x:c>
      <x:c r="N552" t="str">
        <x:v>Ti(Strong structure) with Fe(Tank memory): ASK in model.</x:v>
      </x:c>
    </x:row>
    <x:row r="553">
      <x:c r="A553" t="str">
        <x:v>Ti</x:v>
      </x:c>
      <x:c r="B553" t="str">
        <x:v>Co</x:v>
      </x:c>
      <x:c r="C553" t="str">
        <x:v>Strong structure</x:v>
      </x:c>
      <x:c r="D553" t="str">
        <x:v>Magnetic bridge</x:v>
      </x:c>
      <x:c r="E553" t="str">
        <x:v>ᛉ□</x:v>
      </x:c>
      <x:c r="F553" t="str">
        <x:v>◉ᛉ</x:v>
      </x:c>
      <x:c r="G553" t="n">
        <x:v>24.2</x:v>
      </x:c>
      <x:c r="H553" t="n">
        <x:v>19</x:v>
      </x:c>
      <x:c r="I553" t="n">
        <x:v>5.5</x:v>
      </x:c>
      <x:c r="J553" t="n">
        <x:v>28.5</x:v>
      </x:c>
      <x:c r="K553" t="n">
        <x:v>66.2</x:v>
      </x:c>
      <x:c r="L553" t="str">
        <x:v>ASK</x:v>
      </x:c>
      <x:c r="M553" t="str">
        <x:v>ᛉ□ + ◉ᛉ + △ + ◎?</x:v>
      </x:c>
      <x:c r="N553" t="str">
        <x:v>Ti(Strong structure) with Co(Magnetic bridge): ASK in model.</x:v>
      </x:c>
    </x:row>
    <x:row r="554">
      <x:c r="A554" t="str">
        <x:v>Ti</x:v>
      </x:c>
      <x:c r="B554" t="str">
        <x:v>Ni</x:v>
      </x:c>
      <x:c r="C554" t="str">
        <x:v>Strong structure</x:v>
      </x:c>
      <x:c r="D554" t="str">
        <x:v>Catalytic guard</x:v>
      </x:c>
      <x:c r="E554" t="str">
        <x:v>ᛉ□</x:v>
      </x:c>
      <x:c r="F554" t="str">
        <x:v>◎↺</x:v>
      </x:c>
      <x:c r="G554" t="n">
        <x:v>24.8</x:v>
      </x:c>
      <x:c r="H554" t="n">
        <x:v>19</x:v>
      </x:c>
      <x:c r="I554" t="n">
        <x:v>5</x:v>
      </x:c>
      <x:c r="J554" t="n">
        <x:v>29.5</x:v>
      </x:c>
      <x:c r="K554" t="n">
        <x:v>68.3</x:v>
      </x:c>
      <x:c r="L554" t="str">
        <x:v>ASK</x:v>
      </x:c>
      <x:c r="M554" t="str">
        <x:v>ᛉ□ + ◎↺ + △ + ◎?</x:v>
      </x:c>
      <x:c r="N554" t="str">
        <x:v>Ti(Strong structure) with Ni(Catalytic guard): ASK in model.</x:v>
      </x:c>
    </x:row>
    <x:row r="555">
      <x:c r="A555" t="str">
        <x:v>Ti</x:v>
      </x:c>
      <x:c r="B555" t="str">
        <x:v>Cu</x:v>
      </x:c>
      <x:c r="C555" t="str">
        <x:v>Strong structure</x:v>
      </x:c>
      <x:c r="D555" t="str">
        <x:v>Conductor flow</x:v>
      </x:c>
      <x:c r="E555" t="str">
        <x:v>ᛉ□</x:v>
      </x:c>
      <x:c r="F555" t="str">
        <x:v>↺ᛏ</x:v>
      </x:c>
      <x:c r="G555" t="n">
        <x:v>25.6</x:v>
      </x:c>
      <x:c r="H555" t="n">
        <x:v>17</x:v>
      </x:c>
      <x:c r="I555" t="n">
        <x:v>4.5</x:v>
      </x:c>
      <x:c r="J555" t="n">
        <x:v>28.5</x:v>
      </x:c>
      <x:c r="K555" t="n">
        <x:v>66.6</x:v>
      </x:c>
      <x:c r="L555" t="str">
        <x:v>ASK</x:v>
      </x:c>
      <x:c r="M555" t="str">
        <x:v>ᛉ□ + ↺ᛏ + △ + ◎?</x:v>
      </x:c>
      <x:c r="N555" t="str">
        <x:v>Ti(Strong structure) with Cu(Conductor flow): ASK in model.</x:v>
      </x:c>
    </x:row>
    <x:row r="556">
      <x:c r="A556" t="str">
        <x:v>Ti</x:v>
      </x:c>
      <x:c r="B556" t="str">
        <x:v>Zn</x:v>
      </x:c>
      <x:c r="C556" t="str">
        <x:v>Strong structure</x:v>
      </x:c>
      <x:c r="D556" t="str">
        <x:v>Enzyme stabilizer</x:v>
      </x:c>
      <x:c r="E556" t="str">
        <x:v>ᛉ□</x:v>
      </x:c>
      <x:c r="F556" t="str">
        <x:v>◎□</x:v>
      </x:c>
      <x:c r="G556" t="n">
        <x:v>19.4</x:v>
      </x:c>
      <x:c r="H556" t="n">
        <x:v>19</x:v>
      </x:c>
      <x:c r="I556" t="n">
        <x:v>4</x:v>
      </x:c>
      <x:c r="J556" t="n">
        <x:v>31.5</x:v>
      </x:c>
      <x:c r="K556" t="n">
        <x:v>65.9</x:v>
      </x:c>
      <x:c r="L556" t="str">
        <x:v>ASK</x:v>
      </x:c>
      <x:c r="M556" t="str">
        <x:v>ᛉ□ + ◎□ + △ + ◎?</x:v>
      </x:c>
      <x:c r="N556" t="str">
        <x:v>Ti(Strong structure) with Zn(Enzyme stabilizer): ASK in model.</x:v>
      </x:c>
    </x:row>
    <x:row r="557">
      <x:c r="A557" t="str">
        <x:v>Ti</x:v>
      </x:c>
      <x:c r="B557" t="str">
        <x:v>Ga</x:v>
      </x:c>
      <x:c r="C557" t="str">
        <x:v>Strong structure</x:v>
      </x:c>
      <x:c r="D557" t="str">
        <x:v>Soft form gate</x:v>
      </x:c>
      <x:c r="E557" t="str">
        <x:v>ᛉ□</x:v>
      </x:c>
      <x:c r="F557" t="str">
        <x:v>□↺</x:v>
      </x:c>
      <x:c r="G557" t="n">
        <x:v>18.9</x:v>
      </x:c>
      <x:c r="H557" t="n">
        <x:v>16</x:v>
      </x:c>
      <x:c r="I557" t="n">
        <x:v>5</x:v>
      </x:c>
      <x:c r="J557" t="n">
        <x:v>26.5</x:v>
      </x:c>
      <x:c r="K557" t="n">
        <x:v>56.4</x:v>
      </x:c>
      <x:c r="L557" t="str">
        <x:v>REPAIR</x:v>
      </x:c>
      <x:c r="M557" t="str">
        <x:v>ᛉ□ + □↺ + △ + ↺</x:v>
      </x:c>
      <x:c r="N557" t="str">
        <x:v>Ti(Strong structure) with Ga(Soft form gate): REPAIR in model.</x:v>
      </x:c>
    </x:row>
    <x:row r="558">
      <x:c r="A558" t="str">
        <x:v>Ti</x:v>
      </x:c>
      <x:c r="B558" t="str">
        <x:v>Ge</x:v>
      </x:c>
      <x:c r="C558" t="str">
        <x:v>Strong structure</x:v>
      </x:c>
      <x:c r="D558" t="str">
        <x:v>Semi lattice</x:v>
      </x:c>
      <x:c r="E558" t="str">
        <x:v>ᛉ□</x:v>
      </x:c>
      <x:c r="F558" t="str">
        <x:v>□◎</x:v>
      </x:c>
      <x:c r="G558" t="n">
        <x:v>19.4</x:v>
      </x:c>
      <x:c r="H558" t="n">
        <x:v>19</x:v>
      </x:c>
      <x:c r="I558" t="n">
        <x:v>4.5</x:v>
      </x:c>
      <x:c r="J558" t="n">
        <x:v>29</x:v>
      </x:c>
      <x:c r="K558" t="n">
        <x:v>62.9</x:v>
      </x:c>
      <x:c r="L558" t="str">
        <x:v>ASK</x:v>
      </x:c>
      <x:c r="M558" t="str">
        <x:v>ᛉ□ + □◎ + △ + ◎?</x:v>
      </x:c>
      <x:c r="N558" t="str">
        <x:v>Ti(Strong structure) with Ge(Semi lattice): ASK in model.</x:v>
      </x:c>
    </x:row>
    <x:row r="559">
      <x:c r="A559" t="str">
        <x:v>Ti</x:v>
      </x:c>
      <x:c r="B559" t="str">
        <x:v>As</x:v>
      </x:c>
      <x:c r="C559" t="str">
        <x:v>Strong structure</x:v>
      </x:c>
      <x:c r="D559" t="str">
        <x:v>Shadow gate</x:v>
      </x:c>
      <x:c r="E559" t="str">
        <x:v>ᛉ□</x:v>
      </x:c>
      <x:c r="F559" t="str">
        <x:v>∅◎</x:v>
      </x:c>
      <x:c r="G559" t="n">
        <x:v>23.9</x:v>
      </x:c>
      <x:c r="H559" t="n">
        <x:v>15</x:v>
      </x:c>
      <x:c r="I559" t="n">
        <x:v>9.5</x:v>
      </x:c>
      <x:c r="J559" t="n">
        <x:v>24</x:v>
      </x:c>
      <x:c r="K559" t="n">
        <x:v>53.4</x:v>
      </x:c>
      <x:c r="L559" t="str">
        <x:v>REPAIR</x:v>
      </x:c>
      <x:c r="M559" t="str">
        <x:v>ᛉ□ + ∅◎ + △ + ↺</x:v>
      </x:c>
      <x:c r="N559" t="str">
        <x:v>Ti(Strong structure) with As(Shadow gate): REPAIR in model.</x:v>
      </x:c>
    </x:row>
    <x:row r="560">
      <x:c r="A560" t="str">
        <x:v>Ti</x:v>
      </x:c>
      <x:c r="B560" t="str">
        <x:v>Se</x:v>
      </x:c>
      <x:c r="C560" t="str">
        <x:v>Strong structure</x:v>
      </x:c>
      <x:c r="D560" t="str">
        <x:v>Trace healer</x:v>
      </x:c>
      <x:c r="E560" t="str">
        <x:v>ᛉ□</x:v>
      </x:c>
      <x:c r="F560" t="str">
        <x:v>↺◉</x:v>
      </x:c>
      <x:c r="G560" t="n">
        <x:v>25.8</x:v>
      </x:c>
      <x:c r="H560" t="n">
        <x:v>15</x:v>
      </x:c>
      <x:c r="I560" t="n">
        <x:v>6</x:v>
      </x:c>
      <x:c r="J560" t="n">
        <x:v>27.5</x:v>
      </x:c>
      <x:c r="K560" t="n">
        <x:v>62.3</x:v>
      </x:c>
      <x:c r="L560" t="str">
        <x:v>ASK</x:v>
      </x:c>
      <x:c r="M560" t="str">
        <x:v>ᛉ□ + ↺◉ + △ + ◎?</x:v>
      </x:c>
      <x:c r="N560" t="str">
        <x:v>Ti(Strong structure) with Se(Trace healer): ASK in model.</x:v>
      </x:c>
    </x:row>
    <x:row r="561">
      <x:c r="A561" t="str">
        <x:v>Ti</x:v>
      </x:c>
      <x:c r="B561" t="str">
        <x:v>Br</x:v>
      </x:c>
      <x:c r="C561" t="str">
        <x:v>Strong structure</x:v>
      </x:c>
      <x:c r="D561" t="str">
        <x:v>Heavy receiver</x:v>
      </x:c>
      <x:c r="E561" t="str">
        <x:v>ᛉ□</x:v>
      </x:c>
      <x:c r="F561" t="str">
        <x:v>▽∅</x:v>
      </x:c>
      <x:c r="G561" t="n">
        <x:v>36.1</x:v>
      </x:c>
      <x:c r="H561" t="n">
        <x:v>11</x:v>
      </x:c>
      <x:c r="I561" t="n">
        <x:v>7.5</x:v>
      </x:c>
      <x:c r="J561" t="n">
        <x:v>26.5</x:v>
      </x:c>
      <x:c r="K561" t="n">
        <x:v>66.1</x:v>
      </x:c>
      <x:c r="L561" t="str">
        <x:v>ASK</x:v>
      </x:c>
      <x:c r="M561" t="str">
        <x:v>ᛉ□ + ▽∅ + △ + ◎?</x:v>
      </x:c>
      <x:c r="N561" t="str">
        <x:v>Ti(Strong structure) with Br(Heavy receiver): ASK in model.</x:v>
      </x:c>
    </x:row>
    <x:row r="562">
      <x:c r="A562" t="str">
        <x:v>Ti</x:v>
      </x:c>
      <x:c r="B562" t="str">
        <x:v>Kr</x:v>
      </x:c>
      <x:c r="C562" t="str">
        <x:v>Strong structure</x:v>
      </x:c>
      <x:c r="D562" t="str">
        <x:v>Closed Gate light</x:v>
      </x:c>
      <x:c r="E562" t="str">
        <x:v>ᛉ□</x:v>
      </x:c>
      <x:c r="F562" t="str">
        <x:v>◎✓</x:v>
      </x:c>
      <x:c r="G562" t="n">
        <x:v>2.2</x:v>
      </x:c>
      <x:c r="H562" t="n">
        <x:v>20</x:v>
      </x:c>
      <x:c r="I562" t="n">
        <x:v>2.5</x:v>
      </x:c>
      <x:c r="J562" t="n">
        <x:v>34.5</x:v>
      </x:c>
      <x:c r="K562" t="n">
        <x:v>54.2</x:v>
      </x:c>
      <x:c r="L562" t="str">
        <x:v>REPAIR</x:v>
      </x:c>
      <x:c r="M562" t="str">
        <x:v>ᛉ□ + ◎✓ + △ + ↺</x:v>
      </x:c>
      <x:c r="N562" t="str">
        <x:v>Ti(Strong structure) with Kr(Closed Gate light): REPAIR in model.</x:v>
      </x:c>
    </x:row>
    <x:row r="563">
      <x:c r="A563" t="str">
        <x:v>V</x:v>
      </x:c>
      <x:c r="B563" t="str">
        <x:v>V</x:v>
      </x:c>
      <x:c r="C563" t="str">
        <x:v>Multi-state gate</x:v>
      </x:c>
      <x:c r="D563" t="str">
        <x:v>Multi-state gate</x:v>
      </x:c>
      <x:c r="E563" t="str">
        <x:v>◎↺</x:v>
      </x:c>
      <x:c r="F563" t="str">
        <x:v>◎↺</x:v>
      </x:c>
      <x:c r="G563" t="n">
        <x:v>29.3</x:v>
      </x:c>
      <x:c r="H563" t="n">
        <x:v>20</x:v>
      </x:c>
      <x:c r="I563" t="n">
        <x:v>9</x:v>
      </x:c>
      <x:c r="J563" t="n">
        <x:v>25</x:v>
      </x:c>
      <x:c r="K563" t="n">
        <x:v>65.3</x:v>
      </x:c>
      <x:c r="L563" t="str">
        <x:v>ASK</x:v>
      </x:c>
      <x:c r="M563" t="str">
        <x:v>◎↺ + ◎↺ + △ + ◎?</x:v>
      </x:c>
      <x:c r="N563" t="str">
        <x:v>V(Multi-state gate) with V(Multi-state gate): ASK in model.</x:v>
      </x:c>
    </x:row>
    <x:row r="564">
      <x:c r="A564" t="str">
        <x:v>V</x:v>
      </x:c>
      <x:c r="B564" t="str">
        <x:v>Cr</x:v>
      </x:c>
      <x:c r="C564" t="str">
        <x:v>Multi-state gate</x:v>
      </x:c>
      <x:c r="D564" t="str">
        <x:v>Surface guardian</x:v>
      </x:c>
      <x:c r="E564" t="str">
        <x:v>◎↺</x:v>
      </x:c>
      <x:c r="F564" t="str">
        <x:v>ᛉ◎</x:v>
      </x:c>
      <x:c r="G564" t="n">
        <x:v>28.1</x:v>
      </x:c>
      <x:c r="H564" t="n">
        <x:v>18</x:v>
      </x:c>
      <x:c r="I564" t="n">
        <x:v>8</x:v>
      </x:c>
      <x:c r="J564" t="n">
        <x:v>27.5</x:v>
      </x:c>
      <x:c r="K564" t="n">
        <x:v>65.6</x:v>
      </x:c>
      <x:c r="L564" t="str">
        <x:v>ASK</x:v>
      </x:c>
      <x:c r="M564" t="str">
        <x:v>◎↺ + ᛉ◎ + △ + ◎?</x:v>
      </x:c>
      <x:c r="N564" t="str">
        <x:v>V(Multi-state gate) with Cr(Surface guardian): ASK in model.</x:v>
      </x:c>
    </x:row>
    <x:row r="565">
      <x:c r="A565" t="str">
        <x:v>V</x:v>
      </x:c>
      <x:c r="B565" t="str">
        <x:v>Mn</x:v>
      </x:c>
      <x:c r="C565" t="str">
        <x:v>Multi-state gate</x:v>
      </x:c>
      <x:c r="D565" t="str">
        <x:v>Redox archer</x:v>
      </x:c>
      <x:c r="E565" t="str">
        <x:v>◎↺</x:v>
      </x:c>
      <x:c r="F565" t="str">
        <x:v>ᛏ↺</x:v>
      </x:c>
      <x:c r="G565" t="n">
        <x:v>34.8</x:v>
      </x:c>
      <x:c r="H565" t="n">
        <x:v>18</x:v>
      </x:c>
      <x:c r="I565" t="n">
        <x:v>10</x:v>
      </x:c>
      <x:c r="J565" t="n">
        <x:v>23.5</x:v>
      </x:c>
      <x:c r="K565" t="n">
        <x:v>66.3</x:v>
      </x:c>
      <x:c r="L565" t="str">
        <x:v>ASK</x:v>
      </x:c>
      <x:c r="M565" t="str">
        <x:v>◎↺ + ᛏ↺ + △ + ◎?</x:v>
      </x:c>
      <x:c r="N565" t="str">
        <x:v>V(Multi-state gate) with Mn(Redox archer): ASK in model.</x:v>
      </x:c>
    </x:row>
    <x:row r="566">
      <x:c r="A566" t="str">
        <x:v>V</x:v>
      </x:c>
      <x:c r="B566" t="str">
        <x:v>Fe</x:v>
      </x:c>
      <x:c r="C566" t="str">
        <x:v>Multi-state gate</x:v>
      </x:c>
      <x:c r="D566" t="str">
        <x:v>Tank memory</x:v>
      </x:c>
      <x:c r="E566" t="str">
        <x:v>◎↺</x:v>
      </x:c>
      <x:c r="F566" t="str">
        <x:v>ᛉ◉</x:v>
      </x:c>
      <x:c r="G566" t="n">
        <x:v>32.5</x:v>
      </x:c>
      <x:c r="H566" t="n">
        <x:v>17</x:v>
      </x:c>
      <x:c r="I566" t="n">
        <x:v>8</x:v>
      </x:c>
      <x:c r="J566" t="n">
        <x:v>26.5</x:v>
      </x:c>
      <x:c r="K566" t="n">
        <x:v>68</x:v>
      </x:c>
      <x:c r="L566" t="str">
        <x:v>ASK</x:v>
      </x:c>
      <x:c r="M566" t="str">
        <x:v>◎↺ + ᛉ◉ + △ + ◎?</x:v>
      </x:c>
      <x:c r="N566" t="str">
        <x:v>V(Multi-state gate) with Fe(Tank memory): ASK in model.</x:v>
      </x:c>
    </x:row>
    <x:row r="567">
      <x:c r="A567" t="str">
        <x:v>V</x:v>
      </x:c>
      <x:c r="B567" t="str">
        <x:v>Co</x:v>
      </x:c>
      <x:c r="C567" t="str">
        <x:v>Multi-state gate</x:v>
      </x:c>
      <x:c r="D567" t="str">
        <x:v>Magnetic bridge</x:v>
      </x:c>
      <x:c r="E567" t="str">
        <x:v>◎↺</x:v>
      </x:c>
      <x:c r="F567" t="str">
        <x:v>◉ᛉ</x:v>
      </x:c>
      <x:c r="G567" t="n">
        <x:v>29.8</x:v>
      </x:c>
      <x:c r="H567" t="n">
        <x:v>18</x:v>
      </x:c>
      <x:c r="I567" t="n">
        <x:v>8</x:v>
      </x:c>
      <x:c r="J567" t="n">
        <x:v>26</x:v>
      </x:c>
      <x:c r="K567" t="n">
        <x:v>65.8</x:v>
      </x:c>
      <x:c r="L567" t="str">
        <x:v>ASK</x:v>
      </x:c>
      <x:c r="M567" t="str">
        <x:v>◎↺ + ◉ᛉ + △ + ◎?</x:v>
      </x:c>
      <x:c r="N567" t="str">
        <x:v>V(Multi-state gate) with Co(Magnetic bridge): ASK in model.</x:v>
      </x:c>
    </x:row>
    <x:row r="568">
      <x:c r="A568" t="str">
        <x:v>V</x:v>
      </x:c>
      <x:c r="B568" t="str">
        <x:v>Ni</x:v>
      </x:c>
      <x:c r="C568" t="str">
        <x:v>Multi-state gate</x:v>
      </x:c>
      <x:c r="D568" t="str">
        <x:v>Catalytic guard</x:v>
      </x:c>
      <x:c r="E568" t="str">
        <x:v>◎↺</x:v>
      </x:c>
      <x:c r="F568" t="str">
        <x:v>◎↺</x:v>
      </x:c>
      <x:c r="G568" t="n">
        <x:v>30.3</x:v>
      </x:c>
      <x:c r="H568" t="n">
        <x:v>18</x:v>
      </x:c>
      <x:c r="I568" t="n">
        <x:v>7.5</x:v>
      </x:c>
      <x:c r="J568" t="n">
        <x:v>27</x:v>
      </x:c>
      <x:c r="K568" t="n">
        <x:v>67.8</x:v>
      </x:c>
      <x:c r="L568" t="str">
        <x:v>ASK</x:v>
      </x:c>
      <x:c r="M568" t="str">
        <x:v>◎↺ + ◎↺ + △ + ◎?</x:v>
      </x:c>
      <x:c r="N568" t="str">
        <x:v>V(Multi-state gate) with Ni(Catalytic guard): ASK in model.</x:v>
      </x:c>
    </x:row>
    <x:row r="569">
      <x:c r="A569" t="str">
        <x:v>V</x:v>
      </x:c>
      <x:c r="B569" t="str">
        <x:v>Cu</x:v>
      </x:c>
      <x:c r="C569" t="str">
        <x:v>Multi-state gate</x:v>
      </x:c>
      <x:c r="D569" t="str">
        <x:v>Conductor flow</x:v>
      </x:c>
      <x:c r="E569" t="str">
        <x:v>◎↺</x:v>
      </x:c>
      <x:c r="F569" t="str">
        <x:v>↺ᛏ</x:v>
      </x:c>
      <x:c r="G569" t="n">
        <x:v>31.4</x:v>
      </x:c>
      <x:c r="H569" t="n">
        <x:v>20</x:v>
      </x:c>
      <x:c r="I569" t="n">
        <x:v>7</x:v>
      </x:c>
      <x:c r="J569" t="n">
        <x:v>26</x:v>
      </x:c>
      <x:c r="K569" t="n">
        <x:v>70.4</x:v>
      </x:c>
      <x:c r="L569" t="str">
        <x:v>ASK</x:v>
      </x:c>
      <x:c r="M569" t="str">
        <x:v>◎↺ + ↺ᛏ + △ + ◎?</x:v>
      </x:c>
      <x:c r="N569" t="str">
        <x:v>V(Multi-state gate) with Cu(Conductor flow): ASK in model.</x:v>
      </x:c>
    </x:row>
    <x:row r="570">
      <x:c r="A570" t="str">
        <x:v>V</x:v>
      </x:c>
      <x:c r="B570" t="str">
        <x:v>Zn</x:v>
      </x:c>
      <x:c r="C570" t="str">
        <x:v>Multi-state gate</x:v>
      </x:c>
      <x:c r="D570" t="str">
        <x:v>Enzyme stabilizer</x:v>
      </x:c>
      <x:c r="E570" t="str">
        <x:v>◎↺</x:v>
      </x:c>
      <x:c r="F570" t="str">
        <x:v>◎□</x:v>
      </x:c>
      <x:c r="G570" t="n">
        <x:v>23.6</x:v>
      </x:c>
      <x:c r="H570" t="n">
        <x:v>18</x:v>
      </x:c>
      <x:c r="I570" t="n">
        <x:v>6.5</x:v>
      </x:c>
      <x:c r="J570" t="n">
        <x:v>29</x:v>
      </x:c>
      <x:c r="K570" t="n">
        <x:v>64.1</x:v>
      </x:c>
      <x:c r="L570" t="str">
        <x:v>ASK</x:v>
      </x:c>
      <x:c r="M570" t="str">
        <x:v>◎↺ + ◎□ + △ + ◎?</x:v>
      </x:c>
      <x:c r="N570" t="str">
        <x:v>V(Multi-state gate) with Zn(Enzyme stabilizer): ASK in model.</x:v>
      </x:c>
    </x:row>
    <x:row r="571">
      <x:c r="A571" t="str">
        <x:v>V</x:v>
      </x:c>
      <x:c r="B571" t="str">
        <x:v>Ga</x:v>
      </x:c>
      <x:c r="C571" t="str">
        <x:v>Multi-state gate</x:v>
      </x:c>
      <x:c r="D571" t="str">
        <x:v>Soft form gate</x:v>
      </x:c>
      <x:c r="E571" t="str">
        <x:v>◎↺</x:v>
      </x:c>
      <x:c r="F571" t="str">
        <x:v>□↺</x:v>
      </x:c>
      <x:c r="G571" t="n">
        <x:v>23.1</x:v>
      </x:c>
      <x:c r="H571" t="n">
        <x:v>19</x:v>
      </x:c>
      <x:c r="I571" t="n">
        <x:v>7.5</x:v>
      </x:c>
      <x:c r="J571" t="n">
        <x:v>24</x:v>
      </x:c>
      <x:c r="K571" t="n">
        <x:v>58.6</x:v>
      </x:c>
      <x:c r="L571" t="str">
        <x:v>ASK</x:v>
      </x:c>
      <x:c r="M571" t="str">
        <x:v>◎↺ + □↺ + △ + ◎?</x:v>
      </x:c>
      <x:c r="N571" t="str">
        <x:v>V(Multi-state gate) with Ga(Soft form gate): ASK in model.</x:v>
      </x:c>
    </x:row>
    <x:row r="572">
      <x:c r="A572" t="str">
        <x:v>V</x:v>
      </x:c>
      <x:c r="B572" t="str">
        <x:v>Ge</x:v>
      </x:c>
      <x:c r="C572" t="str">
        <x:v>Multi-state gate</x:v>
      </x:c>
      <x:c r="D572" t="str">
        <x:v>Semi lattice</x:v>
      </x:c>
      <x:c r="E572" t="str">
        <x:v>◎↺</x:v>
      </x:c>
      <x:c r="F572" t="str">
        <x:v>□◎</x:v>
      </x:c>
      <x:c r="G572" t="n">
        <x:v>23.6</x:v>
      </x:c>
      <x:c r="H572" t="n">
        <x:v>18</x:v>
      </x:c>
      <x:c r="I572" t="n">
        <x:v>7</x:v>
      </x:c>
      <x:c r="J572" t="n">
        <x:v>26.5</x:v>
      </x:c>
      <x:c r="K572" t="n">
        <x:v>61.1</x:v>
      </x:c>
      <x:c r="L572" t="str">
        <x:v>ASK</x:v>
      </x:c>
      <x:c r="M572" t="str">
        <x:v>◎↺ + □◎ + △ + ◎?</x:v>
      </x:c>
      <x:c r="N572" t="str">
        <x:v>V(Multi-state gate) with Ge(Semi lattice): ASK in model.</x:v>
      </x:c>
    </x:row>
    <x:row r="573">
      <x:c r="A573" t="str">
        <x:v>V</x:v>
      </x:c>
      <x:c r="B573" t="str">
        <x:v>As</x:v>
      </x:c>
      <x:c r="C573" t="str">
        <x:v>Multi-state gate</x:v>
      </x:c>
      <x:c r="D573" t="str">
        <x:v>Shadow gate</x:v>
      </x:c>
      <x:c r="E573" t="str">
        <x:v>◎↺</x:v>
      </x:c>
      <x:c r="F573" t="str">
        <x:v>∅◎</x:v>
      </x:c>
      <x:c r="G573" t="n">
        <x:v>29.1</x:v>
      </x:c>
      <x:c r="H573" t="n">
        <x:v>18</x:v>
      </x:c>
      <x:c r="I573" t="n">
        <x:v>12</x:v>
      </x:c>
      <x:c r="J573" t="n">
        <x:v>21.5</x:v>
      </x:c>
      <x:c r="K573" t="n">
        <x:v>56.6</x:v>
      </x:c>
      <x:c r="L573" t="str">
        <x:v>REPAIR</x:v>
      </x:c>
      <x:c r="M573" t="str">
        <x:v>◎↺ + ∅◎ + △ + ↺</x:v>
      </x:c>
      <x:c r="N573" t="str">
        <x:v>V(Multi-state gate) with As(Shadow gate): REPAIR in model.</x:v>
      </x:c>
    </x:row>
    <x:row r="574">
      <x:c r="A574" t="str">
        <x:v>V</x:v>
      </x:c>
      <x:c r="B574" t="str">
        <x:v>Se</x:v>
      </x:c>
      <x:c r="C574" t="str">
        <x:v>Multi-state gate</x:v>
      </x:c>
      <x:c r="D574" t="str">
        <x:v>Trace healer</x:v>
      </x:c>
      <x:c r="E574" t="str">
        <x:v>◎↺</x:v>
      </x:c>
      <x:c r="F574" t="str">
        <x:v>↺◉</x:v>
      </x:c>
      <x:c r="G574" t="n">
        <x:v>31.2</x:v>
      </x:c>
      <x:c r="H574" t="n">
        <x:v>18</x:v>
      </x:c>
      <x:c r="I574" t="n">
        <x:v>8.5</x:v>
      </x:c>
      <x:c r="J574" t="n">
        <x:v>25</x:v>
      </x:c>
      <x:c r="K574" t="n">
        <x:v>65.7</x:v>
      </x:c>
      <x:c r="L574" t="str">
        <x:v>ASK</x:v>
      </x:c>
      <x:c r="M574" t="str">
        <x:v>◎↺ + ↺◉ + △ + ◎?</x:v>
      </x:c>
      <x:c r="N574" t="str">
        <x:v>V(Multi-state gate) with Se(Trace healer): ASK in model.</x:v>
      </x:c>
    </x:row>
    <x:row r="575">
      <x:c r="A575" t="str">
        <x:v>V</x:v>
      </x:c>
      <x:c r="B575" t="str">
        <x:v>Br</x:v>
      </x:c>
      <x:c r="C575" t="str">
        <x:v>Multi-state gate</x:v>
      </x:c>
      <x:c r="D575" t="str">
        <x:v>Heavy receiver</x:v>
      </x:c>
      <x:c r="E575" t="str">
        <x:v>◎↺</x:v>
      </x:c>
      <x:c r="F575" t="str">
        <x:v>▽∅</x:v>
      </x:c>
      <x:c r="G575" t="n">
        <x:v>43.9</x:v>
      </x:c>
      <x:c r="H575" t="n">
        <x:v>14</x:v>
      </x:c>
      <x:c r="I575" t="n">
        <x:v>10</x:v>
      </x:c>
      <x:c r="J575" t="n">
        <x:v>24</x:v>
      </x:c>
      <x:c r="K575" t="n">
        <x:v>71.9</x:v>
      </x:c>
      <x:c r="L575" t="str">
        <x:v>ASK</x:v>
      </x:c>
      <x:c r="M575" t="str">
        <x:v>◎↺ + ▽∅ + △ + ◎?</x:v>
      </x:c>
      <x:c r="N575" t="str">
        <x:v>V(Multi-state gate) with Br(Heavy receiver): ASK in model.</x:v>
      </x:c>
    </x:row>
    <x:row r="576">
      <x:c r="A576" t="str">
        <x:v>V</x:v>
      </x:c>
      <x:c r="B576" t="str">
        <x:v>Kr</x:v>
      </x:c>
      <x:c r="C576" t="str">
        <x:v>Multi-state gate</x:v>
      </x:c>
      <x:c r="D576" t="str">
        <x:v>Closed Gate light</x:v>
      </x:c>
      <x:c r="E576" t="str">
        <x:v>◎↺</x:v>
      </x:c>
      <x:c r="F576" t="str">
        <x:v>◎✓</x:v>
      </x:c>
      <x:c r="G576" t="n">
        <x:v>2.8</x:v>
      </x:c>
      <x:c r="H576" t="n">
        <x:v>17</x:v>
      </x:c>
      <x:c r="I576" t="n">
        <x:v>5</x:v>
      </x:c>
      <x:c r="J576" t="n">
        <x:v>32</x:v>
      </x:c>
      <x:c r="K576" t="n">
        <x:v>46.8</x:v>
      </x:c>
      <x:c r="L576" t="str">
        <x:v>REPAIR</x:v>
      </x:c>
      <x:c r="M576" t="str">
        <x:v>◎↺ + ◎✓ + △ + ↺</x:v>
      </x:c>
      <x:c r="N576" t="str">
        <x:v>V(Multi-state gate) with Kr(Closed Gate light): REPAIR in model.</x:v>
      </x:c>
    </x:row>
    <x:row r="577">
      <x:c r="A577" t="str">
        <x:v>Cr</x:v>
      </x:c>
      <x:c r="B577" t="str">
        <x:v>Cr</x:v>
      </x:c>
      <x:c r="C577" t="str">
        <x:v>Surface guardian</x:v>
      </x:c>
      <x:c r="D577" t="str">
        <x:v>Surface guardian</x:v>
      </x:c>
      <x:c r="E577" t="str">
        <x:v>ᛉ◎</x:v>
      </x:c>
      <x:c r="F577" t="str">
        <x:v>ᛉ◎</x:v>
      </x:c>
      <x:c r="G577" t="n">
        <x:v>27</x:v>
      </x:c>
      <x:c r="H577" t="n">
        <x:v>20</x:v>
      </x:c>
      <x:c r="I577" t="n">
        <x:v>7</x:v>
      </x:c>
      <x:c r="J577" t="n">
        <x:v>30</x:v>
      </x:c>
      <x:c r="K577" t="n">
        <x:v>70</x:v>
      </x:c>
      <x:c r="L577" t="str">
        <x:v>ASK</x:v>
      </x:c>
      <x:c r="M577" t="str">
        <x:v>ᛉ◎ + ᛉ◎ + △ + ◎?</x:v>
      </x:c>
      <x:c r="N577" t="str">
        <x:v>Cr(Surface guardian) with Cr(Surface guardian): ASK in model.</x:v>
      </x:c>
    </x:row>
    <x:row r="578">
      <x:c r="A578" t="str">
        <x:v>Cr</x:v>
      </x:c>
      <x:c r="B578" t="str">
        <x:v>Mn</x:v>
      </x:c>
      <x:c r="C578" t="str">
        <x:v>Surface guardian</x:v>
      </x:c>
      <x:c r="D578" t="str">
        <x:v>Redox archer</x:v>
      </x:c>
      <x:c r="E578" t="str">
        <x:v>ᛉ◎</x:v>
      </x:c>
      <x:c r="F578" t="str">
        <x:v>ᛏ↺</x:v>
      </x:c>
      <x:c r="G578" t="n">
        <x:v>33.4</x:v>
      </x:c>
      <x:c r="H578" t="n">
        <x:v>16</x:v>
      </x:c>
      <x:c r="I578" t="n">
        <x:v>9</x:v>
      </x:c>
      <x:c r="J578" t="n">
        <x:v>26</x:v>
      </x:c>
      <x:c r="K578" t="n">
        <x:v>66.4</x:v>
      </x:c>
      <x:c r="L578" t="str">
        <x:v>ASK</x:v>
      </x:c>
      <x:c r="M578" t="str">
        <x:v>ᛉ◎ + ᛏ↺ + △ + ◎?</x:v>
      </x:c>
      <x:c r="N578" t="str">
        <x:v>Cr(Surface guardian) with Mn(Redox archer): ASK in model.</x:v>
      </x:c>
    </x:row>
    <x:row r="579">
      <x:c r="A579" t="str">
        <x:v>Cr</x:v>
      </x:c>
      <x:c r="B579" t="str">
        <x:v>Fe</x:v>
      </x:c>
      <x:c r="C579" t="str">
        <x:v>Surface guardian</x:v>
      </x:c>
      <x:c r="D579" t="str">
        <x:v>Tank memory</x:v>
      </x:c>
      <x:c r="E579" t="str">
        <x:v>ᛉ◎</x:v>
      </x:c>
      <x:c r="F579" t="str">
        <x:v>ᛉ◉</x:v>
      </x:c>
      <x:c r="G579" t="n">
        <x:v>31.1</x:v>
      </x:c>
      <x:c r="H579" t="n">
        <x:v>19</x:v>
      </x:c>
      <x:c r="I579" t="n">
        <x:v>7</x:v>
      </x:c>
      <x:c r="J579" t="n">
        <x:v>29</x:v>
      </x:c>
      <x:c r="K579" t="n">
        <x:v>72.1</x:v>
      </x:c>
      <x:c r="L579" t="str">
        <x:v>ASK</x:v>
      </x:c>
      <x:c r="M579" t="str">
        <x:v>ᛉ◎ + ᛉ◉ + △ + ◎?</x:v>
      </x:c>
      <x:c r="N579" t="str">
        <x:v>Cr(Surface guardian) with Fe(Tank memory): ASK in model.</x:v>
      </x:c>
    </x:row>
    <x:row r="580">
      <x:c r="A580" t="str">
        <x:v>Cr</x:v>
      </x:c>
      <x:c r="B580" t="str">
        <x:v>Co</x:v>
      </x:c>
      <x:c r="C580" t="str">
        <x:v>Surface guardian</x:v>
      </x:c>
      <x:c r="D580" t="str">
        <x:v>Magnetic bridge</x:v>
      </x:c>
      <x:c r="E580" t="str">
        <x:v>ᛉ◎</x:v>
      </x:c>
      <x:c r="F580" t="str">
        <x:v>◉ᛉ</x:v>
      </x:c>
      <x:c r="G580" t="n">
        <x:v>28.5</x:v>
      </x:c>
      <x:c r="H580" t="n">
        <x:v>20</x:v>
      </x:c>
      <x:c r="I580" t="n">
        <x:v>7</x:v>
      </x:c>
      <x:c r="J580" t="n">
        <x:v>28.5</x:v>
      </x:c>
      <x:c r="K580" t="n">
        <x:v>70</x:v>
      </x:c>
      <x:c r="L580" t="str">
        <x:v>ASK</x:v>
      </x:c>
      <x:c r="M580" t="str">
        <x:v>ᛉ◎ + ◉ᛉ + △ + ◎?</x:v>
      </x:c>
      <x:c r="N580" t="str">
        <x:v>Cr(Surface guardian) with Co(Magnetic bridge): ASK in model.</x:v>
      </x:c>
    </x:row>
    <x:row r="581">
      <x:c r="A581" t="str">
        <x:v>Cr</x:v>
      </x:c>
      <x:c r="B581" t="str">
        <x:v>Ni</x:v>
      </x:c>
      <x:c r="C581" t="str">
        <x:v>Surface guardian</x:v>
      </x:c>
      <x:c r="D581" t="str">
        <x:v>Catalytic guard</x:v>
      </x:c>
      <x:c r="E581" t="str">
        <x:v>ᛉ◎</x:v>
      </x:c>
      <x:c r="F581" t="str">
        <x:v>◎↺</x:v>
      </x:c>
      <x:c r="G581" t="n">
        <x:v>28.9</x:v>
      </x:c>
      <x:c r="H581" t="n">
        <x:v>20</x:v>
      </x:c>
      <x:c r="I581" t="n">
        <x:v>6.5</x:v>
      </x:c>
      <x:c r="J581" t="n">
        <x:v>29.5</x:v>
      </x:c>
      <x:c r="K581" t="n">
        <x:v>71.9</x:v>
      </x:c>
      <x:c r="L581" t="str">
        <x:v>ASK</x:v>
      </x:c>
      <x:c r="M581" t="str">
        <x:v>ᛉ◎ + ◎↺ + △ + ◎?</x:v>
      </x:c>
      <x:c r="N581" t="str">
        <x:v>Cr(Surface guardian) with Ni(Catalytic guard): ASK in model.</x:v>
      </x:c>
    </x:row>
    <x:row r="582">
      <x:c r="A582" t="str">
        <x:v>Cr</x:v>
      </x:c>
      <x:c r="B582" t="str">
        <x:v>Cu</x:v>
      </x:c>
      <x:c r="C582" t="str">
        <x:v>Surface guardian</x:v>
      </x:c>
      <x:c r="D582" t="str">
        <x:v>Conductor flow</x:v>
      </x:c>
      <x:c r="E582" t="str">
        <x:v>ᛉ◎</x:v>
      </x:c>
      <x:c r="F582" t="str">
        <x:v>↺ᛏ</x:v>
      </x:c>
      <x:c r="G582" t="n">
        <x:v>30</x:v>
      </x:c>
      <x:c r="H582" t="n">
        <x:v>18</x:v>
      </x:c>
      <x:c r="I582" t="n">
        <x:v>6</x:v>
      </x:c>
      <x:c r="J582" t="n">
        <x:v>28.5</x:v>
      </x:c>
      <x:c r="K582" t="n">
        <x:v>70.5</x:v>
      </x:c>
      <x:c r="L582" t="str">
        <x:v>ASK</x:v>
      </x:c>
      <x:c r="M582" t="str">
        <x:v>ᛉ◎ + ↺ᛏ + △ + ◎?</x:v>
      </x:c>
      <x:c r="N582" t="str">
        <x:v>Cr(Surface guardian) with Cu(Conductor flow): ASK in model.</x:v>
      </x:c>
    </x:row>
    <x:row r="583">
      <x:c r="A583" t="str">
        <x:v>Cr</x:v>
      </x:c>
      <x:c r="B583" t="str">
        <x:v>Zn</x:v>
      </x:c>
      <x:c r="C583" t="str">
        <x:v>Surface guardian</x:v>
      </x:c>
      <x:c r="D583" t="str">
        <x:v>Enzyme stabilizer</x:v>
      </x:c>
      <x:c r="E583" t="str">
        <x:v>ᛉ◎</x:v>
      </x:c>
      <x:c r="F583" t="str">
        <x:v>◎□</x:v>
      </x:c>
      <x:c r="G583" t="n">
        <x:v>22.5</x:v>
      </x:c>
      <x:c r="H583" t="n">
        <x:v>20</x:v>
      </x:c>
      <x:c r="I583" t="n">
        <x:v>5.5</x:v>
      </x:c>
      <x:c r="J583" t="n">
        <x:v>31.5</x:v>
      </x:c>
      <x:c r="K583" t="n">
        <x:v>68.5</x:v>
      </x:c>
      <x:c r="L583" t="str">
        <x:v>ASK</x:v>
      </x:c>
      <x:c r="M583" t="str">
        <x:v>ᛉ◎ + ◎□ + △ + ◎?</x:v>
      </x:c>
      <x:c r="N583" t="str">
        <x:v>Cr(Surface guardian) with Zn(Enzyme stabilizer): ASK in model.</x:v>
      </x:c>
    </x:row>
    <x:row r="584">
      <x:c r="A584" t="str">
        <x:v>Cr</x:v>
      </x:c>
      <x:c r="B584" t="str">
        <x:v>Ga</x:v>
      </x:c>
      <x:c r="C584" t="str">
        <x:v>Surface guardian</x:v>
      </x:c>
      <x:c r="D584" t="str">
        <x:v>Soft form gate</x:v>
      </x:c>
      <x:c r="E584" t="str">
        <x:v>ᛉ◎</x:v>
      </x:c>
      <x:c r="F584" t="str">
        <x:v>□↺</x:v>
      </x:c>
      <x:c r="G584" t="n">
        <x:v>22.1</x:v>
      </x:c>
      <x:c r="H584" t="n">
        <x:v>17</x:v>
      </x:c>
      <x:c r="I584" t="n">
        <x:v>6.5</x:v>
      </x:c>
      <x:c r="J584" t="n">
        <x:v>26.5</x:v>
      </x:c>
      <x:c r="K584" t="n">
        <x:v>59.1</x:v>
      </x:c>
      <x:c r="L584" t="str">
        <x:v>ASK</x:v>
      </x:c>
      <x:c r="M584" t="str">
        <x:v>ᛉ◎ + □↺ + △ + ◎?</x:v>
      </x:c>
      <x:c r="N584" t="str">
        <x:v>Cr(Surface guardian) with Ga(Soft form gate): ASK in model.</x:v>
      </x:c>
    </x:row>
    <x:row r="585">
      <x:c r="A585" t="str">
        <x:v>Cr</x:v>
      </x:c>
      <x:c r="B585" t="str">
        <x:v>Ge</x:v>
      </x:c>
      <x:c r="C585" t="str">
        <x:v>Surface guardian</x:v>
      </x:c>
      <x:c r="D585" t="str">
        <x:v>Semi lattice</x:v>
      </x:c>
      <x:c r="E585" t="str">
        <x:v>ᛉ◎</x:v>
      </x:c>
      <x:c r="F585" t="str">
        <x:v>□◎</x:v>
      </x:c>
      <x:c r="G585" t="n">
        <x:v>22.5</x:v>
      </x:c>
      <x:c r="H585" t="n">
        <x:v>20</x:v>
      </x:c>
      <x:c r="I585" t="n">
        <x:v>6</x:v>
      </x:c>
      <x:c r="J585" t="n">
        <x:v>29</x:v>
      </x:c>
      <x:c r="K585" t="n">
        <x:v>65.5</x:v>
      </x:c>
      <x:c r="L585" t="str">
        <x:v>ASK</x:v>
      </x:c>
      <x:c r="M585" t="str">
        <x:v>ᛉ◎ + □◎ + △ + ◎?</x:v>
      </x:c>
      <x:c r="N585" t="str">
        <x:v>Cr(Surface guardian) with Ge(Semi lattice): ASK in model.</x:v>
      </x:c>
    </x:row>
    <x:row r="586">
      <x:c r="A586" t="str">
        <x:v>Cr</x:v>
      </x:c>
      <x:c r="B586" t="str">
        <x:v>As</x:v>
      </x:c>
      <x:c r="C586" t="str">
        <x:v>Surface guardian</x:v>
      </x:c>
      <x:c r="D586" t="str">
        <x:v>Shadow gate</x:v>
      </x:c>
      <x:c r="E586" t="str">
        <x:v>ᛉ◎</x:v>
      </x:c>
      <x:c r="F586" t="str">
        <x:v>∅◎</x:v>
      </x:c>
      <x:c r="G586" t="n">
        <x:v>27.8</x:v>
      </x:c>
      <x:c r="H586" t="n">
        <x:v>16</x:v>
      </x:c>
      <x:c r="I586" t="n">
        <x:v>11</x:v>
      </x:c>
      <x:c r="J586" t="n">
        <x:v>24</x:v>
      </x:c>
      <x:c r="K586" t="n">
        <x:v>56.8</x:v>
      </x:c>
      <x:c r="L586" t="str">
        <x:v>REPAIR</x:v>
      </x:c>
      <x:c r="M586" t="str">
        <x:v>ᛉ◎ + ∅◎ + △ + ↺</x:v>
      </x:c>
      <x:c r="N586" t="str">
        <x:v>Cr(Surface guardian) with As(Shadow gate): REPAIR in model.</x:v>
      </x:c>
    </x:row>
    <x:row r="587">
      <x:c r="A587" t="str">
        <x:v>Cr</x:v>
      </x:c>
      <x:c r="B587" t="str">
        <x:v>Se</x:v>
      </x:c>
      <x:c r="C587" t="str">
        <x:v>Surface guardian</x:v>
      </x:c>
      <x:c r="D587" t="str">
        <x:v>Trace healer</x:v>
      </x:c>
      <x:c r="E587" t="str">
        <x:v>ᛉ◎</x:v>
      </x:c>
      <x:c r="F587" t="str">
        <x:v>↺◉</x:v>
      </x:c>
      <x:c r="G587" t="n">
        <x:v>29.6</x:v>
      </x:c>
      <x:c r="H587" t="n">
        <x:v>16</x:v>
      </x:c>
      <x:c r="I587" t="n">
        <x:v>7.5</x:v>
      </x:c>
      <x:c r="J587" t="n">
        <x:v>27.5</x:v>
      </x:c>
      <x:c r="K587" t="n">
        <x:v>65.6</x:v>
      </x:c>
      <x:c r="L587" t="str">
        <x:v>ASK</x:v>
      </x:c>
      <x:c r="M587" t="str">
        <x:v>ᛉ◎ + ↺◉ + △ + ◎?</x:v>
      </x:c>
      <x:c r="N587" t="str">
        <x:v>Cr(Surface guardian) with Se(Trace healer): ASK in model.</x:v>
      </x:c>
    </x:row>
    <x:row r="588">
      <x:c r="A588" t="str">
        <x:v>Cr</x:v>
      </x:c>
      <x:c r="B588" t="str">
        <x:v>Br</x:v>
      </x:c>
      <x:c r="C588" t="str">
        <x:v>Surface guardian</x:v>
      </x:c>
      <x:c r="D588" t="str">
        <x:v>Heavy receiver</x:v>
      </x:c>
      <x:c r="E588" t="str">
        <x:v>ᛉ◎</x:v>
      </x:c>
      <x:c r="F588" t="str">
        <x:v>▽∅</x:v>
      </x:c>
      <x:c r="G588" t="n">
        <x:v>41.6</x:v>
      </x:c>
      <x:c r="H588" t="n">
        <x:v>12</x:v>
      </x:c>
      <x:c r="I588" t="n">
        <x:v>9</x:v>
      </x:c>
      <x:c r="J588" t="n">
        <x:v>26.5</x:v>
      </x:c>
      <x:c r="K588" t="n">
        <x:v>71.1</x:v>
      </x:c>
      <x:c r="L588" t="str">
        <x:v>ASK</x:v>
      </x:c>
      <x:c r="M588" t="str">
        <x:v>ᛉ◎ + ▽∅ + △ + ◎?</x:v>
      </x:c>
      <x:c r="N588" t="str">
        <x:v>Cr(Surface guardian) with Br(Heavy receiver): ASK in model.</x:v>
      </x:c>
    </x:row>
    <x:row r="589">
      <x:c r="A589" t="str">
        <x:v>Cr</x:v>
      </x:c>
      <x:c r="B589" t="str">
        <x:v>Kr</x:v>
      </x:c>
      <x:c r="C589" t="str">
        <x:v>Surface guardian</x:v>
      </x:c>
      <x:c r="D589" t="str">
        <x:v>Closed Gate light</x:v>
      </x:c>
      <x:c r="E589" t="str">
        <x:v>ᛉ◎</x:v>
      </x:c>
      <x:c r="F589" t="str">
        <x:v>◎✓</x:v>
      </x:c>
      <x:c r="G589" t="n">
        <x:v>2.6</x:v>
      </x:c>
      <x:c r="H589" t="n">
        <x:v>19</x:v>
      </x:c>
      <x:c r="I589" t="n">
        <x:v>4</x:v>
      </x:c>
      <x:c r="J589" t="n">
        <x:v>34.5</x:v>
      </x:c>
      <x:c r="K589" t="n">
        <x:v>52.1</x:v>
      </x:c>
      <x:c r="L589" t="str">
        <x:v>REPAIR</x:v>
      </x:c>
      <x:c r="M589" t="str">
        <x:v>ᛉ◎ + ◎✓ + △ + ↺</x:v>
      </x:c>
      <x:c r="N589" t="str">
        <x:v>Cr(Surface guardian) with Kr(Closed Gate light): REPAIR in model.</x:v>
      </x:c>
    </x:row>
    <x:row r="590">
      <x:c r="A590" t="str">
        <x:v>Mn</x:v>
      </x:c>
      <x:c r="B590" t="str">
        <x:v>Mn</x:v>
      </x:c>
      <x:c r="C590" t="str">
        <x:v>Redox archer</x:v>
      </x:c>
      <x:c r="D590" t="str">
        <x:v>Redox archer</x:v>
      </x:c>
      <x:c r="E590" t="str">
        <x:v>ᛏ↺</x:v>
      </x:c>
      <x:c r="F590" t="str">
        <x:v>ᛏ↺</x:v>
      </x:c>
      <x:c r="G590" t="n">
        <x:v>41.2</x:v>
      </x:c>
      <x:c r="H590" t="n">
        <x:v>20</x:v>
      </x:c>
      <x:c r="I590" t="n">
        <x:v>11</x:v>
      </x:c>
      <x:c r="J590" t="n">
        <x:v>22</x:v>
      </x:c>
      <x:c r="K590" t="n">
        <x:v>72.2</x:v>
      </x:c>
      <x:c r="L590" t="str">
        <x:v>ASK</x:v>
      </x:c>
      <x:c r="M590" t="str">
        <x:v>ᛏ↺ + ᛏ↺ + △ + ◎?</x:v>
      </x:c>
      <x:c r="N590" t="str">
        <x:v>Mn(Redox archer) with Mn(Redox archer): ASK in model.</x:v>
      </x:c>
    </x:row>
    <x:row r="591">
      <x:c r="A591" t="str">
        <x:v>Mn</x:v>
      </x:c>
      <x:c r="B591" t="str">
        <x:v>Fe</x:v>
      </x:c>
      <x:c r="C591" t="str">
        <x:v>Redox archer</x:v>
      </x:c>
      <x:c r="D591" t="str">
        <x:v>Tank memory</x:v>
      </x:c>
      <x:c r="E591" t="str">
        <x:v>ᛏ↺</x:v>
      </x:c>
      <x:c r="F591" t="str">
        <x:v>ᛉ◉</x:v>
      </x:c>
      <x:c r="G591" t="n">
        <x:v>38.5</x:v>
      </x:c>
      <x:c r="H591" t="n">
        <x:v>15</x:v>
      </x:c>
      <x:c r="I591" t="n">
        <x:v>9</x:v>
      </x:c>
      <x:c r="J591" t="n">
        <x:v>25</x:v>
      </x:c>
      <x:c r="K591" t="n">
        <x:v>69.5</x:v>
      </x:c>
      <x:c r="L591" t="str">
        <x:v>ASK</x:v>
      </x:c>
      <x:c r="M591" t="str">
        <x:v>ᛏ↺ + ᛉ◉ + △ + ◎?</x:v>
      </x:c>
      <x:c r="N591" t="str">
        <x:v>Mn(Redox archer) with Fe(Tank memory): ASK in model.</x:v>
      </x:c>
    </x:row>
    <x:row r="592">
      <x:c r="A592" t="str">
        <x:v>Mn</x:v>
      </x:c>
      <x:c r="B592" t="str">
        <x:v>Co</x:v>
      </x:c>
      <x:c r="C592" t="str">
        <x:v>Redox archer</x:v>
      </x:c>
      <x:c r="D592" t="str">
        <x:v>Magnetic bridge</x:v>
      </x:c>
      <x:c r="E592" t="str">
        <x:v>ᛏ↺</x:v>
      </x:c>
      <x:c r="F592" t="str">
        <x:v>◉ᛉ</x:v>
      </x:c>
      <x:c r="G592" t="n">
        <x:v>35.2</x:v>
      </x:c>
      <x:c r="H592" t="n">
        <x:v>16</x:v>
      </x:c>
      <x:c r="I592" t="n">
        <x:v>9</x:v>
      </x:c>
      <x:c r="J592" t="n">
        <x:v>24.5</x:v>
      </x:c>
      <x:c r="K592" t="n">
        <x:v>66.7</x:v>
      </x:c>
      <x:c r="L592" t="str">
        <x:v>ASK</x:v>
      </x:c>
      <x:c r="M592" t="str">
        <x:v>ᛏ↺ + ◉ᛉ + △ + ◎?</x:v>
      </x:c>
      <x:c r="N592" t="str">
        <x:v>Mn(Redox archer) with Co(Magnetic bridge): ASK in model.</x:v>
      </x:c>
    </x:row>
    <x:row r="593">
      <x:c r="A593" t="str">
        <x:v>Mn</x:v>
      </x:c>
      <x:c r="B593" t="str">
        <x:v>Ni</x:v>
      </x:c>
      <x:c r="C593" t="str">
        <x:v>Redox archer</x:v>
      </x:c>
      <x:c r="D593" t="str">
        <x:v>Catalytic guard</x:v>
      </x:c>
      <x:c r="E593" t="str">
        <x:v>ᛏ↺</x:v>
      </x:c>
      <x:c r="F593" t="str">
        <x:v>◎↺</x:v>
      </x:c>
      <x:c r="G593" t="n">
        <x:v>35.8</x:v>
      </x:c>
      <x:c r="H593" t="n">
        <x:v>16</x:v>
      </x:c>
      <x:c r="I593" t="n">
        <x:v>8.5</x:v>
      </x:c>
      <x:c r="J593" t="n">
        <x:v>25.5</x:v>
      </x:c>
      <x:c r="K593" t="n">
        <x:v>68.8</x:v>
      </x:c>
      <x:c r="L593" t="str">
        <x:v>ASK</x:v>
      </x:c>
      <x:c r="M593" t="str">
        <x:v>ᛏ↺ + ◎↺ + △ + ◎?</x:v>
      </x:c>
      <x:c r="N593" t="str">
        <x:v>Mn(Redox archer) with Ni(Catalytic guard): ASK in model.</x:v>
      </x:c>
    </x:row>
    <x:row r="594">
      <x:c r="A594" t="str">
        <x:v>Mn</x:v>
      </x:c>
      <x:c r="B594" t="str">
        <x:v>Cu</x:v>
      </x:c>
      <x:c r="C594" t="str">
        <x:v>Redox archer</x:v>
      </x:c>
      <x:c r="D594" t="str">
        <x:v>Conductor flow</x:v>
      </x:c>
      <x:c r="E594" t="str">
        <x:v>ᛏ↺</x:v>
      </x:c>
      <x:c r="F594" t="str">
        <x:v>↺ᛏ</x:v>
      </x:c>
      <x:c r="G594" t="n">
        <x:v>37.1</x:v>
      </x:c>
      <x:c r="H594" t="n">
        <x:v>18</x:v>
      </x:c>
      <x:c r="I594" t="n">
        <x:v>8</x:v>
      </x:c>
      <x:c r="J594" t="n">
        <x:v>24.5</x:v>
      </x:c>
      <x:c r="K594" t="n">
        <x:v>71.6</x:v>
      </x:c>
      <x:c r="L594" t="str">
        <x:v>ASK</x:v>
      </x:c>
      <x:c r="M594" t="str">
        <x:v>ᛏ↺ + ↺ᛏ + △ + ◎?</x:v>
      </x:c>
      <x:c r="N594" t="str">
        <x:v>Mn(Redox archer) with Cu(Conductor flow): ASK in model.</x:v>
      </x:c>
    </x:row>
    <x:row r="595">
      <x:c r="A595" t="str">
        <x:v>Mn</x:v>
      </x:c>
      <x:c r="B595" t="str">
        <x:v>Zn</x:v>
      </x:c>
      <x:c r="C595" t="str">
        <x:v>Redox archer</x:v>
      </x:c>
      <x:c r="D595" t="str">
        <x:v>Enzyme stabilizer</x:v>
      </x:c>
      <x:c r="E595" t="str">
        <x:v>ᛏ↺</x:v>
      </x:c>
      <x:c r="F595" t="str">
        <x:v>◎□</x:v>
      </x:c>
      <x:c r="G595" t="n">
        <x:v>27.9</x:v>
      </x:c>
      <x:c r="H595" t="n">
        <x:v>16</x:v>
      </x:c>
      <x:c r="I595" t="n">
        <x:v>7.5</x:v>
      </x:c>
      <x:c r="J595" t="n">
        <x:v>27.5</x:v>
      </x:c>
      <x:c r="K595" t="n">
        <x:v>63.9</x:v>
      </x:c>
      <x:c r="L595" t="str">
        <x:v>ASK</x:v>
      </x:c>
      <x:c r="M595" t="str">
        <x:v>ᛏ↺ + ◎□ + △ + ◎?</x:v>
      </x:c>
      <x:c r="N595" t="str">
        <x:v>Mn(Redox archer) with Zn(Enzyme stabilizer): ASK in model.</x:v>
      </x:c>
    </x:row>
    <x:row r="596">
      <x:c r="A596" t="str">
        <x:v>Mn</x:v>
      </x:c>
      <x:c r="B596" t="str">
        <x:v>Ga</x:v>
      </x:c>
      <x:c r="C596" t="str">
        <x:v>Redox archer</x:v>
      </x:c>
      <x:c r="D596" t="str">
        <x:v>Soft form gate</x:v>
      </x:c>
      <x:c r="E596" t="str">
        <x:v>ᛏ↺</x:v>
      </x:c>
      <x:c r="F596" t="str">
        <x:v>□↺</x:v>
      </x:c>
      <x:c r="G596" t="n">
        <x:v>27.4</x:v>
      </x:c>
      <x:c r="H596" t="n">
        <x:v>19</x:v>
      </x:c>
      <x:c r="I596" t="n">
        <x:v>8.5</x:v>
      </x:c>
      <x:c r="J596" t="n">
        <x:v>22.5</x:v>
      </x:c>
      <x:c r="K596" t="n">
        <x:v>60.4</x:v>
      </x:c>
      <x:c r="L596" t="str">
        <x:v>ASK</x:v>
      </x:c>
      <x:c r="M596" t="str">
        <x:v>ᛏ↺ + □↺ + △ + ◎?</x:v>
      </x:c>
      <x:c r="N596" t="str">
        <x:v>Mn(Redox archer) with Ga(Soft form gate): ASK in model.</x:v>
      </x:c>
    </x:row>
    <x:row r="597">
      <x:c r="A597" t="str">
        <x:v>Mn</x:v>
      </x:c>
      <x:c r="B597" t="str">
        <x:v>Ge</x:v>
      </x:c>
      <x:c r="C597" t="str">
        <x:v>Redox archer</x:v>
      </x:c>
      <x:c r="D597" t="str">
        <x:v>Semi lattice</x:v>
      </x:c>
      <x:c r="E597" t="str">
        <x:v>ᛏ↺</x:v>
      </x:c>
      <x:c r="F597" t="str">
        <x:v>□◎</x:v>
      </x:c>
      <x:c r="G597" t="n">
        <x:v>27.9</x:v>
      </x:c>
      <x:c r="H597" t="n">
        <x:v>16</x:v>
      </x:c>
      <x:c r="I597" t="n">
        <x:v>8</x:v>
      </x:c>
      <x:c r="J597" t="n">
        <x:v>25</x:v>
      </x:c>
      <x:c r="K597" t="n">
        <x:v>60.9</x:v>
      </x:c>
      <x:c r="L597" t="str">
        <x:v>ASK</x:v>
      </x:c>
      <x:c r="M597" t="str">
        <x:v>ᛏ↺ + □◎ + △ + ◎?</x:v>
      </x:c>
      <x:c r="N597" t="str">
        <x:v>Mn(Redox archer) with Ge(Semi lattice): ASK in model.</x:v>
      </x:c>
    </x:row>
    <x:row r="598">
      <x:c r="A598" t="str">
        <x:v>Mn</x:v>
      </x:c>
      <x:c r="B598" t="str">
        <x:v>As</x:v>
      </x:c>
      <x:c r="C598" t="str">
        <x:v>Redox archer</x:v>
      </x:c>
      <x:c r="D598" t="str">
        <x:v>Shadow gate</x:v>
      </x:c>
      <x:c r="E598" t="str">
        <x:v>ᛏ↺</x:v>
      </x:c>
      <x:c r="F598" t="str">
        <x:v>∅◎</x:v>
      </x:c>
      <x:c r="G598" t="n">
        <x:v>34.4</x:v>
      </x:c>
      <x:c r="H598" t="n">
        <x:v>20</x:v>
      </x:c>
      <x:c r="I598" t="n">
        <x:v>13</x:v>
      </x:c>
      <x:c r="J598" t="n">
        <x:v>20</x:v>
      </x:c>
      <x:c r="K598" t="n">
        <x:v>61.4</x:v>
      </x:c>
      <x:c r="L598" t="str">
        <x:v>ASK</x:v>
      </x:c>
      <x:c r="M598" t="str">
        <x:v>ᛏ↺ + ∅◎ + △ + ◎?</x:v>
      </x:c>
      <x:c r="N598" t="str">
        <x:v>Mn(Redox archer) with As(Shadow gate): ASK in model.</x:v>
      </x:c>
    </x:row>
    <x:row r="599">
      <x:c r="A599" t="str">
        <x:v>Mn</x:v>
      </x:c>
      <x:c r="B599" t="str">
        <x:v>Se</x:v>
      </x:c>
      <x:c r="C599" t="str">
        <x:v>Redox archer</x:v>
      </x:c>
      <x:c r="D599" t="str">
        <x:v>Trace healer</x:v>
      </x:c>
      <x:c r="E599" t="str">
        <x:v>ᛏ↺</x:v>
      </x:c>
      <x:c r="F599" t="str">
        <x:v>↺◉</x:v>
      </x:c>
      <x:c r="G599" t="n">
        <x:v>36.8</x:v>
      </x:c>
      <x:c r="H599" t="n">
        <x:v>20</x:v>
      </x:c>
      <x:c r="I599" t="n">
        <x:v>9.5</x:v>
      </x:c>
      <x:c r="J599" t="n">
        <x:v>23.5</x:v>
      </x:c>
      <x:c r="K599" t="n">
        <x:v>70.8</x:v>
      </x:c>
      <x:c r="L599" t="str">
        <x:v>ASK</x:v>
      </x:c>
      <x:c r="M599" t="str">
        <x:v>ᛏ↺ + ↺◉ + △ + ◎?</x:v>
      </x:c>
      <x:c r="N599" t="str">
        <x:v>Mn(Redox archer) with Se(Trace healer): ASK in model.</x:v>
      </x:c>
    </x:row>
    <x:row r="600">
      <x:c r="A600" t="str">
        <x:v>Mn</x:v>
      </x:c>
      <x:c r="B600" t="str">
        <x:v>Br</x:v>
      </x:c>
      <x:c r="C600" t="str">
        <x:v>Redox archer</x:v>
      </x:c>
      <x:c r="D600" t="str">
        <x:v>Heavy receiver</x:v>
      </x:c>
      <x:c r="E600" t="str">
        <x:v>ᛏ↺</x:v>
      </x:c>
      <x:c r="F600" t="str">
        <x:v>▽∅</x:v>
      </x:c>
      <x:c r="G600" t="n">
        <x:v>51.6</x:v>
      </x:c>
      <x:c r="H600" t="n">
        <x:v>16</x:v>
      </x:c>
      <x:c r="I600" t="n">
        <x:v>11</x:v>
      </x:c>
      <x:c r="J600" t="n">
        <x:v>22.5</x:v>
      </x:c>
      <x:c r="K600" t="n">
        <x:v>79.1</x:v>
      </x:c>
      <x:c r="L600" t="str">
        <x:v>OPEN</x:v>
      </x:c>
      <x:c r="M600" t="str">
        <x:v>ᛏ↺ + ▽∅ + △ + ◎✓</x:v>
      </x:c>
      <x:c r="N600" t="str">
        <x:v>Mn(Redox archer) with Br(Heavy receiver): OPEN in model.</x:v>
      </x:c>
    </x:row>
    <x:row r="601">
      <x:c r="A601" t="str">
        <x:v>Mn</x:v>
      </x:c>
      <x:c r="B601" t="str">
        <x:v>Kr</x:v>
      </x:c>
      <x:c r="C601" t="str">
        <x:v>Redox archer</x:v>
      </x:c>
      <x:c r="D601" t="str">
        <x:v>Closed Gate light</x:v>
      </x:c>
      <x:c r="E601" t="str">
        <x:v>ᛏ↺</x:v>
      </x:c>
      <x:c r="F601" t="str">
        <x:v>◎✓</x:v>
      </x:c>
      <x:c r="G601" t="n">
        <x:v>3.2</x:v>
      </x:c>
      <x:c r="H601" t="n">
        <x:v>15</x:v>
      </x:c>
      <x:c r="I601" t="n">
        <x:v>6</x:v>
      </x:c>
      <x:c r="J601" t="n">
        <x:v>30.5</x:v>
      </x:c>
      <x:c r="K601" t="n">
        <x:v>42.7</x:v>
      </x:c>
      <x:c r="L601" t="str">
        <x:v>REPAIR</x:v>
      </x:c>
      <x:c r="M601" t="str">
        <x:v>ᛏ↺ + ◎✓ + △ + ↺</x:v>
      </x:c>
      <x:c r="N601" t="str">
        <x:v>Mn(Redox archer) with Kr(Closed Gate light): REPAIR in model.</x:v>
      </x:c>
    </x:row>
    <x:row r="602">
      <x:c r="A602" t="str">
        <x:v>Fe</x:v>
      </x:c>
      <x:c r="B602" t="str">
        <x:v>Fe</x:v>
      </x:c>
      <x:c r="C602" t="str">
        <x:v>Tank memory</x:v>
      </x:c>
      <x:c r="D602" t="str">
        <x:v>Tank memory</x:v>
      </x:c>
      <x:c r="E602" t="str">
        <x:v>ᛉ◉</x:v>
      </x:c>
      <x:c r="F602" t="str">
        <x:v>ᛉ◉</x:v>
      </x:c>
      <x:c r="G602" t="n">
        <x:v>35.8</x:v>
      </x:c>
      <x:c r="H602" t="n">
        <x:v>20</x:v>
      </x:c>
      <x:c r="I602" t="n">
        <x:v>7</x:v>
      </x:c>
      <x:c r="J602" t="n">
        <x:v>28</x:v>
      </x:c>
      <x:c r="K602" t="n">
        <x:v>76.8</x:v>
      </x:c>
      <x:c r="L602" t="str">
        <x:v>OPEN</x:v>
      </x:c>
      <x:c r="M602" t="str">
        <x:v>ᛉ◉ + ᛉ◉ + △ + ◎✓</x:v>
      </x:c>
      <x:c r="N602" t="str">
        <x:v>Fe(Tank memory) with Fe(Tank memory): OPEN in model.</x:v>
      </x:c>
    </x:row>
    <x:row r="603">
      <x:c r="A603" t="str">
        <x:v>Fe</x:v>
      </x:c>
      <x:c r="B603" t="str">
        <x:v>Co</x:v>
      </x:c>
      <x:c r="C603" t="str">
        <x:v>Tank memory</x:v>
      </x:c>
      <x:c r="D603" t="str">
        <x:v>Magnetic bridge</x:v>
      </x:c>
      <x:c r="E603" t="str">
        <x:v>ᛉ◉</x:v>
      </x:c>
      <x:c r="F603" t="str">
        <x:v>◉ᛉ</x:v>
      </x:c>
      <x:c r="G603" t="n">
        <x:v>32.8</x:v>
      </x:c>
      <x:c r="H603" t="n">
        <x:v>19</x:v>
      </x:c>
      <x:c r="I603" t="n">
        <x:v>7</x:v>
      </x:c>
      <x:c r="J603" t="n">
        <x:v>27.5</x:v>
      </x:c>
      <x:c r="K603" t="n">
        <x:v>72.3</x:v>
      </x:c>
      <x:c r="L603" t="str">
        <x:v>ASK</x:v>
      </x:c>
      <x:c r="M603" t="str">
        <x:v>ᛉ◉ + ◉ᛉ + △ + ◎?</x:v>
      </x:c>
      <x:c r="N603" t="str">
        <x:v>Fe(Tank memory) with Co(Magnetic bridge): ASK in model.</x:v>
      </x:c>
    </x:row>
    <x:row r="604">
      <x:c r="A604" t="str">
        <x:v>Fe</x:v>
      </x:c>
      <x:c r="B604" t="str">
        <x:v>Ni</x:v>
      </x:c>
      <x:c r="C604" t="str">
        <x:v>Tank memory</x:v>
      </x:c>
      <x:c r="D604" t="str">
        <x:v>Catalytic guard</x:v>
      </x:c>
      <x:c r="E604" t="str">
        <x:v>ᛉ◉</x:v>
      </x:c>
      <x:c r="F604" t="str">
        <x:v>◎↺</x:v>
      </x:c>
      <x:c r="G604" t="n">
        <x:v>33</x:v>
      </x:c>
      <x:c r="H604" t="n">
        <x:v>19</x:v>
      </x:c>
      <x:c r="I604" t="n">
        <x:v>6.5</x:v>
      </x:c>
      <x:c r="J604" t="n">
        <x:v>28.5</x:v>
      </x:c>
      <x:c r="K604" t="n">
        <x:v>74</x:v>
      </x:c>
      <x:c r="L604" t="str">
        <x:v>ASK</x:v>
      </x:c>
      <x:c r="M604" t="str">
        <x:v>ᛉ◉ + ◎↺ + △ + ◎?</x:v>
      </x:c>
      <x:c r="N604" t="str">
        <x:v>Fe(Tank memory) with Ni(Catalytic guard): ASK in model.</x:v>
      </x:c>
    </x:row>
    <x:row r="605">
      <x:c r="A605" t="str">
        <x:v>Fe</x:v>
      </x:c>
      <x:c r="B605" t="str">
        <x:v>Cu</x:v>
      </x:c>
      <x:c r="C605" t="str">
        <x:v>Tank memory</x:v>
      </x:c>
      <x:c r="D605" t="str">
        <x:v>Conductor flow</x:v>
      </x:c>
      <x:c r="E605" t="str">
        <x:v>ᛉ◉</x:v>
      </x:c>
      <x:c r="F605" t="str">
        <x:v>↺ᛏ</x:v>
      </x:c>
      <x:c r="G605" t="n">
        <x:v>34.4</x:v>
      </x:c>
      <x:c r="H605" t="n">
        <x:v>17</x:v>
      </x:c>
      <x:c r="I605" t="n">
        <x:v>6</x:v>
      </x:c>
      <x:c r="J605" t="n">
        <x:v>27.5</x:v>
      </x:c>
      <x:c r="K605" t="n">
        <x:v>72.9</x:v>
      </x:c>
      <x:c r="L605" t="str">
        <x:v>ASK</x:v>
      </x:c>
      <x:c r="M605" t="str">
        <x:v>ᛉ◉ + ↺ᛏ + △ + ◎?</x:v>
      </x:c>
      <x:c r="N605" t="str">
        <x:v>Fe(Tank memory) with Cu(Conductor flow): ASK in model.</x:v>
      </x:c>
    </x:row>
    <x:row r="606">
      <x:c r="A606" t="str">
        <x:v>Fe</x:v>
      </x:c>
      <x:c r="B606" t="str">
        <x:v>Zn</x:v>
      </x:c>
      <x:c r="C606" t="str">
        <x:v>Tank memory</x:v>
      </x:c>
      <x:c r="D606" t="str">
        <x:v>Enzyme stabilizer</x:v>
      </x:c>
      <x:c r="E606" t="str">
        <x:v>ᛉ◉</x:v>
      </x:c>
      <x:c r="F606" t="str">
        <x:v>◎□</x:v>
      </x:c>
      <x:c r="G606" t="n">
        <x:v>25.6</x:v>
      </x:c>
      <x:c r="H606" t="n">
        <x:v>19</x:v>
      </x:c>
      <x:c r="I606" t="n">
        <x:v>5.5</x:v>
      </x:c>
      <x:c r="J606" t="n">
        <x:v>30.5</x:v>
      </x:c>
      <x:c r="K606" t="n">
        <x:v>69.6</x:v>
      </x:c>
      <x:c r="L606" t="str">
        <x:v>ASK</x:v>
      </x:c>
      <x:c r="M606" t="str">
        <x:v>ᛉ◉ + ◎□ + △ + ◎?</x:v>
      </x:c>
      <x:c r="N606" t="str">
        <x:v>Fe(Tank memory) with Zn(Enzyme stabilizer): ASK in model.</x:v>
      </x:c>
    </x:row>
    <x:row r="607">
      <x:c r="A607" t="str">
        <x:v>Fe</x:v>
      </x:c>
      <x:c r="B607" t="str">
        <x:v>Ga</x:v>
      </x:c>
      <x:c r="C607" t="str">
        <x:v>Tank memory</x:v>
      </x:c>
      <x:c r="D607" t="str">
        <x:v>Soft form gate</x:v>
      </x:c>
      <x:c r="E607" t="str">
        <x:v>ᛉ◉</x:v>
      </x:c>
      <x:c r="F607" t="str">
        <x:v>□↺</x:v>
      </x:c>
      <x:c r="G607" t="n">
        <x:v>25.4</x:v>
      </x:c>
      <x:c r="H607" t="n">
        <x:v>16</x:v>
      </x:c>
      <x:c r="I607" t="n">
        <x:v>6.5</x:v>
      </x:c>
      <x:c r="J607" t="n">
        <x:v>25.5</x:v>
      </x:c>
      <x:c r="K607" t="n">
        <x:v>60.4</x:v>
      </x:c>
      <x:c r="L607" t="str">
        <x:v>ASK</x:v>
      </x:c>
      <x:c r="M607" t="str">
        <x:v>ᛉ◉ + □↺ + △ + ◎?</x:v>
      </x:c>
      <x:c r="N607" t="str">
        <x:v>Fe(Tank memory) with Ga(Soft form gate): ASK in model.</x:v>
      </x:c>
    </x:row>
    <x:row r="608">
      <x:c r="A608" t="str">
        <x:v>Fe</x:v>
      </x:c>
      <x:c r="B608" t="str">
        <x:v>Ge</x:v>
      </x:c>
      <x:c r="C608" t="str">
        <x:v>Tank memory</x:v>
      </x:c>
      <x:c r="D608" t="str">
        <x:v>Semi lattice</x:v>
      </x:c>
      <x:c r="E608" t="str">
        <x:v>ᛉ◉</x:v>
      </x:c>
      <x:c r="F608" t="str">
        <x:v>□◎</x:v>
      </x:c>
      <x:c r="G608" t="n">
        <x:v>25.6</x:v>
      </x:c>
      <x:c r="H608" t="n">
        <x:v>19</x:v>
      </x:c>
      <x:c r="I608" t="n">
        <x:v>6</x:v>
      </x:c>
      <x:c r="J608" t="n">
        <x:v>28</x:v>
      </x:c>
      <x:c r="K608" t="n">
        <x:v>66.6</x:v>
      </x:c>
      <x:c r="L608" t="str">
        <x:v>ASK</x:v>
      </x:c>
      <x:c r="M608" t="str">
        <x:v>ᛉ◉ + □◎ + △ + ◎?</x:v>
      </x:c>
      <x:c r="N608" t="str">
        <x:v>Fe(Tank memory) with Ge(Semi lattice): ASK in model.</x:v>
      </x:c>
    </x:row>
    <x:row r="609">
      <x:c r="A609" t="str">
        <x:v>Fe</x:v>
      </x:c>
      <x:c r="B609" t="str">
        <x:v>As</x:v>
      </x:c>
      <x:c r="C609" t="str">
        <x:v>Tank memory</x:v>
      </x:c>
      <x:c r="D609" t="str">
        <x:v>Shadow gate</x:v>
      </x:c>
      <x:c r="E609" t="str">
        <x:v>ᛉ◉</x:v>
      </x:c>
      <x:c r="F609" t="str">
        <x:v>∅◎</x:v>
      </x:c>
      <x:c r="G609" t="n">
        <x:v>31.6</x:v>
      </x:c>
      <x:c r="H609" t="n">
        <x:v>15</x:v>
      </x:c>
      <x:c r="I609" t="n">
        <x:v>11</x:v>
      </x:c>
      <x:c r="J609" t="n">
        <x:v>23</x:v>
      </x:c>
      <x:c r="K609" t="n">
        <x:v>58.6</x:v>
      </x:c>
      <x:c r="L609" t="str">
        <x:v>ASK</x:v>
      </x:c>
      <x:c r="M609" t="str">
        <x:v>ᛉ◉ + ∅◎ + △ + ◎?</x:v>
      </x:c>
      <x:c r="N609" t="str">
        <x:v>Fe(Tank memory) with As(Shadow gate): ASK in model.</x:v>
      </x:c>
    </x:row>
    <x:row r="610">
      <x:c r="A610" t="str">
        <x:v>Fe</x:v>
      </x:c>
      <x:c r="B610" t="str">
        <x:v>Se</x:v>
      </x:c>
      <x:c r="C610" t="str">
        <x:v>Tank memory</x:v>
      </x:c>
      <x:c r="D610" t="str">
        <x:v>Trace healer</x:v>
      </x:c>
      <x:c r="E610" t="str">
        <x:v>ᛉ◉</x:v>
      </x:c>
      <x:c r="F610" t="str">
        <x:v>↺◉</x:v>
      </x:c>
      <x:c r="G610" t="n">
        <x:v>33.5</x:v>
      </x:c>
      <x:c r="H610" t="n">
        <x:v>15</x:v>
      </x:c>
      <x:c r="I610" t="n">
        <x:v>7.5</x:v>
      </x:c>
      <x:c r="J610" t="n">
        <x:v>26.5</x:v>
      </x:c>
      <x:c r="K610" t="n">
        <x:v>67.5</x:v>
      </x:c>
      <x:c r="L610" t="str">
        <x:v>ASK</x:v>
      </x:c>
      <x:c r="M610" t="str">
        <x:v>ᛉ◉ + ↺◉ + △ + ◎?</x:v>
      </x:c>
      <x:c r="N610" t="str">
        <x:v>Fe(Tank memory) with Se(Trace healer): ASK in model.</x:v>
      </x:c>
    </x:row>
    <x:row r="611">
      <x:c r="A611" t="str">
        <x:v>Fe</x:v>
      </x:c>
      <x:c r="B611" t="str">
        <x:v>Br</x:v>
      </x:c>
      <x:c r="C611" t="str">
        <x:v>Tank memory</x:v>
      </x:c>
      <x:c r="D611" t="str">
        <x:v>Heavy receiver</x:v>
      </x:c>
      <x:c r="E611" t="str">
        <x:v>ᛉ◉</x:v>
      </x:c>
      <x:c r="F611" t="str">
        <x:v>▽∅</x:v>
      </x:c>
      <x:c r="G611" t="n">
        <x:v>47.1</x:v>
      </x:c>
      <x:c r="H611" t="n">
        <x:v>11</x:v>
      </x:c>
      <x:c r="I611" t="n">
        <x:v>9</x:v>
      </x:c>
      <x:c r="J611" t="n">
        <x:v>25.5</x:v>
      </x:c>
      <x:c r="K611" t="n">
        <x:v>74.6</x:v>
      </x:c>
      <x:c r="L611" t="str">
        <x:v>ASK</x:v>
      </x:c>
      <x:c r="M611" t="str">
        <x:v>ᛉ◉ + ▽∅ + △ + ◎?</x:v>
      </x:c>
      <x:c r="N611" t="str">
        <x:v>Fe(Tank memory) with Br(Heavy receiver): ASK in model.</x:v>
      </x:c>
    </x:row>
    <x:row r="612">
      <x:c r="A612" t="str">
        <x:v>Fe</x:v>
      </x:c>
      <x:c r="B612" t="str">
        <x:v>Kr</x:v>
      </x:c>
      <x:c r="C612" t="str">
        <x:v>Tank memory</x:v>
      </x:c>
      <x:c r="D612" t="str">
        <x:v>Closed Gate light</x:v>
      </x:c>
      <x:c r="E612" t="str">
        <x:v>ᛉ◉</x:v>
      </x:c>
      <x:c r="F612" t="str">
        <x:v>◎✓</x:v>
      </x:c>
      <x:c r="G612" t="n">
        <x:v>3</x:v>
      </x:c>
      <x:c r="H612" t="n">
        <x:v>20</x:v>
      </x:c>
      <x:c r="I612" t="n">
        <x:v>4</x:v>
      </x:c>
      <x:c r="J612" t="n">
        <x:v>33.5</x:v>
      </x:c>
      <x:c r="K612" t="n">
        <x:v>52.5</x:v>
      </x:c>
      <x:c r="L612" t="str">
        <x:v>REPAIR</x:v>
      </x:c>
      <x:c r="M612" t="str">
        <x:v>ᛉ◉ + ◎✓ + △ + ↺</x:v>
      </x:c>
      <x:c r="N612" t="str">
        <x:v>Fe(Tank memory) with Kr(Closed Gate light): REPAIR in model.</x:v>
      </x:c>
    </x:row>
    <x:row r="613">
      <x:c r="A613" t="str">
        <x:v>Co</x:v>
      </x:c>
      <x:c r="B613" t="str">
        <x:v>Co</x:v>
      </x:c>
      <x:c r="C613" t="str">
        <x:v>Magnetic bridge</x:v>
      </x:c>
      <x:c r="D613" t="str">
        <x:v>Magnetic bridge</x:v>
      </x:c>
      <x:c r="E613" t="str">
        <x:v>◉ᛉ</x:v>
      </x:c>
      <x:c r="F613" t="str">
        <x:v>◉ᛉ</x:v>
      </x:c>
      <x:c r="G613" t="n">
        <x:v>30</x:v>
      </x:c>
      <x:c r="H613" t="n">
        <x:v>20</x:v>
      </x:c>
      <x:c r="I613" t="n">
        <x:v>7</x:v>
      </x:c>
      <x:c r="J613" t="n">
        <x:v>27</x:v>
      </x:c>
      <x:c r="K613" t="n">
        <x:v>70</x:v>
      </x:c>
      <x:c r="L613" t="str">
        <x:v>ASK</x:v>
      </x:c>
      <x:c r="M613" t="str">
        <x:v>◉ᛉ + ◉ᛉ + △ + ◎?</x:v>
      </x:c>
      <x:c r="N613" t="str">
        <x:v>Co(Magnetic bridge) with Co(Magnetic bridge): ASK in model.</x:v>
      </x:c>
    </x:row>
    <x:row r="614">
      <x:c r="A614" t="str">
        <x:v>Co</x:v>
      </x:c>
      <x:c r="B614" t="str">
        <x:v>Ni</x:v>
      </x:c>
      <x:c r="C614" t="str">
        <x:v>Magnetic bridge</x:v>
      </x:c>
      <x:c r="D614" t="str">
        <x:v>Catalytic guard</x:v>
      </x:c>
      <x:c r="E614" t="str">
        <x:v>◉ᛉ</x:v>
      </x:c>
      <x:c r="F614" t="str">
        <x:v>◎↺</x:v>
      </x:c>
      <x:c r="G614" t="n">
        <x:v>30.2</x:v>
      </x:c>
      <x:c r="H614" t="n">
        <x:v>20</x:v>
      </x:c>
      <x:c r="I614" t="n">
        <x:v>6.5</x:v>
      </x:c>
      <x:c r="J614" t="n">
        <x:v>28</x:v>
      </x:c>
      <x:c r="K614" t="n">
        <x:v>71.7</x:v>
      </x:c>
      <x:c r="L614" t="str">
        <x:v>ASK</x:v>
      </x:c>
      <x:c r="M614" t="str">
        <x:v>◉ᛉ + ◎↺ + △ + ◎?</x:v>
      </x:c>
      <x:c r="N614" t="str">
        <x:v>Co(Magnetic bridge) with Ni(Catalytic guard): ASK in model.</x:v>
      </x:c>
    </x:row>
    <x:row r="615">
      <x:c r="A615" t="str">
        <x:v>Co</x:v>
      </x:c>
      <x:c r="B615" t="str">
        <x:v>Cu</x:v>
      </x:c>
      <x:c r="C615" t="str">
        <x:v>Magnetic bridge</x:v>
      </x:c>
      <x:c r="D615" t="str">
        <x:v>Conductor flow</x:v>
      </x:c>
      <x:c r="E615" t="str">
        <x:v>◉ᛉ</x:v>
      </x:c>
      <x:c r="F615" t="str">
        <x:v>↺ᛏ</x:v>
      </x:c>
      <x:c r="G615" t="n">
        <x:v>31.5</x:v>
      </x:c>
      <x:c r="H615" t="n">
        <x:v>18</x:v>
      </x:c>
      <x:c r="I615" t="n">
        <x:v>6</x:v>
      </x:c>
      <x:c r="J615" t="n">
        <x:v>27</x:v>
      </x:c>
      <x:c r="K615" t="n">
        <x:v>70.5</x:v>
      </x:c>
      <x:c r="L615" t="str">
        <x:v>ASK</x:v>
      </x:c>
      <x:c r="M615" t="str">
        <x:v>◉ᛉ + ↺ᛏ + △ + ◎?</x:v>
      </x:c>
      <x:c r="N615" t="str">
        <x:v>Co(Magnetic bridge) with Cu(Conductor flow): ASK in model.</x:v>
      </x:c>
    </x:row>
    <x:row r="616">
      <x:c r="A616" t="str">
        <x:v>Co</x:v>
      </x:c>
      <x:c r="B616" t="str">
        <x:v>Zn</x:v>
      </x:c>
      <x:c r="C616" t="str">
        <x:v>Magnetic bridge</x:v>
      </x:c>
      <x:c r="D616" t="str">
        <x:v>Enzyme stabilizer</x:v>
      </x:c>
      <x:c r="E616" t="str">
        <x:v>◉ᛉ</x:v>
      </x:c>
      <x:c r="F616" t="str">
        <x:v>◎□</x:v>
      </x:c>
      <x:c r="G616" t="n">
        <x:v>23.5</x:v>
      </x:c>
      <x:c r="H616" t="n">
        <x:v>20</x:v>
      </x:c>
      <x:c r="I616" t="n">
        <x:v>5.5</x:v>
      </x:c>
      <x:c r="J616" t="n">
        <x:v>30</x:v>
      </x:c>
      <x:c r="K616" t="n">
        <x:v>68</x:v>
      </x:c>
      <x:c r="L616" t="str">
        <x:v>ASK</x:v>
      </x:c>
      <x:c r="M616" t="str">
        <x:v>◉ᛉ + ◎□ + △ + ◎?</x:v>
      </x:c>
      <x:c r="N616" t="str">
        <x:v>Co(Magnetic bridge) with Zn(Enzyme stabilizer): ASK in model.</x:v>
      </x:c>
    </x:row>
    <x:row r="617">
      <x:c r="A617" t="str">
        <x:v>Co</x:v>
      </x:c>
      <x:c r="B617" t="str">
        <x:v>Ga</x:v>
      </x:c>
      <x:c r="C617" t="str">
        <x:v>Magnetic bridge</x:v>
      </x:c>
      <x:c r="D617" t="str">
        <x:v>Soft form gate</x:v>
      </x:c>
      <x:c r="E617" t="str">
        <x:v>◉ᛉ</x:v>
      </x:c>
      <x:c r="F617" t="str">
        <x:v>□↺</x:v>
      </x:c>
      <x:c r="G617" t="n">
        <x:v>23.2</x:v>
      </x:c>
      <x:c r="H617" t="n">
        <x:v>17</x:v>
      </x:c>
      <x:c r="I617" t="n">
        <x:v>6.5</x:v>
      </x:c>
      <x:c r="J617" t="n">
        <x:v>25</x:v>
      </x:c>
      <x:c r="K617" t="n">
        <x:v>58.7</x:v>
      </x:c>
      <x:c r="L617" t="str">
        <x:v>ASK</x:v>
      </x:c>
      <x:c r="M617" t="str">
        <x:v>◉ᛉ + □↺ + △ + ◎?</x:v>
      </x:c>
      <x:c r="N617" t="str">
        <x:v>Co(Magnetic bridge) with Ga(Soft form gate): ASK in model.</x:v>
      </x:c>
    </x:row>
    <x:row r="618">
      <x:c r="A618" t="str">
        <x:v>Co</x:v>
      </x:c>
      <x:c r="B618" t="str">
        <x:v>Ge</x:v>
      </x:c>
      <x:c r="C618" t="str">
        <x:v>Magnetic bridge</x:v>
      </x:c>
      <x:c r="D618" t="str">
        <x:v>Semi lattice</x:v>
      </x:c>
      <x:c r="E618" t="str">
        <x:v>◉ᛉ</x:v>
      </x:c>
      <x:c r="F618" t="str">
        <x:v>□◎</x:v>
      </x:c>
      <x:c r="G618" t="n">
        <x:v>23.5</x:v>
      </x:c>
      <x:c r="H618" t="n">
        <x:v>20</x:v>
      </x:c>
      <x:c r="I618" t="n">
        <x:v>6</x:v>
      </x:c>
      <x:c r="J618" t="n">
        <x:v>27.5</x:v>
      </x:c>
      <x:c r="K618" t="n">
        <x:v>65</x:v>
      </x:c>
      <x:c r="L618" t="str">
        <x:v>ASK</x:v>
      </x:c>
      <x:c r="M618" t="str">
        <x:v>◉ᛉ + □◎ + △ + ◎?</x:v>
      </x:c>
      <x:c r="N618" t="str">
        <x:v>Co(Magnetic bridge) with Ge(Semi lattice): ASK in model.</x:v>
      </x:c>
    </x:row>
    <x:row r="619">
      <x:c r="A619" t="str">
        <x:v>Co</x:v>
      </x:c>
      <x:c r="B619" t="str">
        <x:v>As</x:v>
      </x:c>
      <x:c r="C619" t="str">
        <x:v>Magnetic bridge</x:v>
      </x:c>
      <x:c r="D619" t="str">
        <x:v>Shadow gate</x:v>
      </x:c>
      <x:c r="E619" t="str">
        <x:v>◉ᛉ</x:v>
      </x:c>
      <x:c r="F619" t="str">
        <x:v>∅◎</x:v>
      </x:c>
      <x:c r="G619" t="n">
        <x:v>29</x:v>
      </x:c>
      <x:c r="H619" t="n">
        <x:v>16</x:v>
      </x:c>
      <x:c r="I619" t="n">
        <x:v>11</x:v>
      </x:c>
      <x:c r="J619" t="n">
        <x:v>22.5</x:v>
      </x:c>
      <x:c r="K619" t="n">
        <x:v>56.5</x:v>
      </x:c>
      <x:c r="L619" t="str">
        <x:v>REPAIR</x:v>
      </x:c>
      <x:c r="M619" t="str">
        <x:v>◉ᛉ + ∅◎ + △ + ↺</x:v>
      </x:c>
      <x:c r="N619" t="str">
        <x:v>Co(Magnetic bridge) with As(Shadow gate): REPAIR in model.</x:v>
      </x:c>
    </x:row>
    <x:row r="620">
      <x:c r="A620" t="str">
        <x:v>Co</x:v>
      </x:c>
      <x:c r="B620" t="str">
        <x:v>Se</x:v>
      </x:c>
      <x:c r="C620" t="str">
        <x:v>Magnetic bridge</x:v>
      </x:c>
      <x:c r="D620" t="str">
        <x:v>Trace healer</x:v>
      </x:c>
      <x:c r="E620" t="str">
        <x:v>◉ᛉ</x:v>
      </x:c>
      <x:c r="F620" t="str">
        <x:v>↺◉</x:v>
      </x:c>
      <x:c r="G620" t="n">
        <x:v>30.8</x:v>
      </x:c>
      <x:c r="H620" t="n">
        <x:v>16</x:v>
      </x:c>
      <x:c r="I620" t="n">
        <x:v>7.5</x:v>
      </x:c>
      <x:c r="J620" t="n">
        <x:v>26</x:v>
      </x:c>
      <x:c r="K620" t="n">
        <x:v>65.3</x:v>
      </x:c>
      <x:c r="L620" t="str">
        <x:v>ASK</x:v>
      </x:c>
      <x:c r="M620" t="str">
        <x:v>◉ᛉ + ↺◉ + △ + ◎?</x:v>
      </x:c>
      <x:c r="N620" t="str">
        <x:v>Co(Magnetic bridge) with Se(Trace healer): ASK in model.</x:v>
      </x:c>
    </x:row>
    <x:row r="621">
      <x:c r="A621" t="str">
        <x:v>Co</x:v>
      </x:c>
      <x:c r="B621" t="str">
        <x:v>Br</x:v>
      </x:c>
      <x:c r="C621" t="str">
        <x:v>Magnetic bridge</x:v>
      </x:c>
      <x:c r="D621" t="str">
        <x:v>Heavy receiver</x:v>
      </x:c>
      <x:c r="E621" t="str">
        <x:v>◉ᛉ</x:v>
      </x:c>
      <x:c r="F621" t="str">
        <x:v>▽∅</x:v>
      </x:c>
      <x:c r="G621" t="n">
        <x:v>43.2</x:v>
      </x:c>
      <x:c r="H621" t="n">
        <x:v>12</x:v>
      </x:c>
      <x:c r="I621" t="n">
        <x:v>9</x:v>
      </x:c>
      <x:c r="J621" t="n">
        <x:v>25</x:v>
      </x:c>
      <x:c r="K621" t="n">
        <x:v>71.2</x:v>
      </x:c>
      <x:c r="L621" t="str">
        <x:v>ASK</x:v>
      </x:c>
      <x:c r="M621" t="str">
        <x:v>◉ᛉ + ▽∅ + △ + ◎?</x:v>
      </x:c>
      <x:c r="N621" t="str">
        <x:v>Co(Magnetic bridge) with Br(Heavy receiver): ASK in model.</x:v>
      </x:c>
    </x:row>
    <x:row r="622">
      <x:c r="A622" t="str">
        <x:v>Co</x:v>
      </x:c>
      <x:c r="B622" t="str">
        <x:v>Kr</x:v>
      </x:c>
      <x:c r="C622" t="str">
        <x:v>Magnetic bridge</x:v>
      </x:c>
      <x:c r="D622" t="str">
        <x:v>Closed Gate light</x:v>
      </x:c>
      <x:c r="E622" t="str">
        <x:v>◉ᛉ</x:v>
      </x:c>
      <x:c r="F622" t="str">
        <x:v>◎✓</x:v>
      </x:c>
      <x:c r="G622" t="n">
        <x:v>2.8</x:v>
      </x:c>
      <x:c r="H622" t="n">
        <x:v>19</x:v>
      </x:c>
      <x:c r="I622" t="n">
        <x:v>4</x:v>
      </x:c>
      <x:c r="J622" t="n">
        <x:v>33</x:v>
      </x:c>
      <x:c r="K622" t="n">
        <x:v>50.8</x:v>
      </x:c>
      <x:c r="L622" t="str">
        <x:v>REPAIR</x:v>
      </x:c>
      <x:c r="M622" t="str">
        <x:v>◉ᛉ + ◎✓ + △ + ↺</x:v>
      </x:c>
      <x:c r="N622" t="str">
        <x:v>Co(Magnetic bridge) with Kr(Closed Gate light): REPAIR in model.</x:v>
      </x:c>
    </x:row>
    <x:row r="623">
      <x:c r="A623" t="str">
        <x:v>Ni</x:v>
      </x:c>
      <x:c r="B623" t="str">
        <x:v>Ni</x:v>
      </x:c>
      <x:c r="C623" t="str">
        <x:v>Catalytic guard</x:v>
      </x:c>
      <x:c r="D623" t="str">
        <x:v>Catalytic guard</x:v>
      </x:c>
      <x:c r="E623" t="str">
        <x:v>◎↺</x:v>
      </x:c>
      <x:c r="F623" t="str">
        <x:v>◎↺</x:v>
      </x:c>
      <x:c r="G623" t="n">
        <x:v>30.3</x:v>
      </x:c>
      <x:c r="H623" t="n">
        <x:v>20</x:v>
      </x:c>
      <x:c r="I623" t="n">
        <x:v>6</x:v>
      </x:c>
      <x:c r="J623" t="n">
        <x:v>29</x:v>
      </x:c>
      <x:c r="K623" t="n">
        <x:v>73.3</x:v>
      </x:c>
      <x:c r="L623" t="str">
        <x:v>ASK</x:v>
      </x:c>
      <x:c r="M623" t="str">
        <x:v>◎↺ + ◎↺ + △ + ◎?</x:v>
      </x:c>
      <x:c r="N623" t="str">
        <x:v>Ni(Catalytic guard) with Ni(Catalytic guard): ASK in model.</x:v>
      </x:c>
    </x:row>
    <x:row r="624">
      <x:c r="A624" t="str">
        <x:v>Ni</x:v>
      </x:c>
      <x:c r="B624" t="str">
        <x:v>Cu</x:v>
      </x:c>
      <x:c r="C624" t="str">
        <x:v>Catalytic guard</x:v>
      </x:c>
      <x:c r="D624" t="str">
        <x:v>Conductor flow</x:v>
      </x:c>
      <x:c r="E624" t="str">
        <x:v>◎↺</x:v>
      </x:c>
      <x:c r="F624" t="str">
        <x:v>↺ᛏ</x:v>
      </x:c>
      <x:c r="G624" t="n">
        <x:v>31.6</x:v>
      </x:c>
      <x:c r="H624" t="n">
        <x:v>18</x:v>
      </x:c>
      <x:c r="I624" t="n">
        <x:v>5.5</x:v>
      </x:c>
      <x:c r="J624" t="n">
        <x:v>28</x:v>
      </x:c>
      <x:c r="K624" t="n">
        <x:v>72.1</x:v>
      </x:c>
      <x:c r="L624" t="str">
        <x:v>ASK</x:v>
      </x:c>
      <x:c r="M624" t="str">
        <x:v>◎↺ + ↺ᛏ + △ + ◎?</x:v>
      </x:c>
      <x:c r="N624" t="str">
        <x:v>Ni(Catalytic guard) with Cu(Conductor flow): ASK in model.</x:v>
      </x:c>
    </x:row>
    <x:row r="625">
      <x:c r="A625" t="str">
        <x:v>Ni</x:v>
      </x:c>
      <x:c r="B625" t="str">
        <x:v>Zn</x:v>
      </x:c>
      <x:c r="C625" t="str">
        <x:v>Catalytic guard</x:v>
      </x:c>
      <x:c r="D625" t="str">
        <x:v>Enzyme stabilizer</x:v>
      </x:c>
      <x:c r="E625" t="str">
        <x:v>◎↺</x:v>
      </x:c>
      <x:c r="F625" t="str">
        <x:v>◎□</x:v>
      </x:c>
      <x:c r="G625" t="n">
        <x:v>23.4</x:v>
      </x:c>
      <x:c r="H625" t="n">
        <x:v>20</x:v>
      </x:c>
      <x:c r="I625" t="n">
        <x:v>5</x:v>
      </x:c>
      <x:c r="J625" t="n">
        <x:v>31</x:v>
      </x:c>
      <x:c r="K625" t="n">
        <x:v>69.4</x:v>
      </x:c>
      <x:c r="L625" t="str">
        <x:v>ASK</x:v>
      </x:c>
      <x:c r="M625" t="str">
        <x:v>◎↺ + ◎□ + △ + ◎?</x:v>
      </x:c>
      <x:c r="N625" t="str">
        <x:v>Ni(Catalytic guard) with Zn(Enzyme stabilizer): ASK in model.</x:v>
      </x:c>
    </x:row>
    <x:row r="626">
      <x:c r="A626" t="str">
        <x:v>Ni</x:v>
      </x:c>
      <x:c r="B626" t="str">
        <x:v>Ga</x:v>
      </x:c>
      <x:c r="C626" t="str">
        <x:v>Catalytic guard</x:v>
      </x:c>
      <x:c r="D626" t="str">
        <x:v>Soft form gate</x:v>
      </x:c>
      <x:c r="E626" t="str">
        <x:v>◎↺</x:v>
      </x:c>
      <x:c r="F626" t="str">
        <x:v>□↺</x:v>
      </x:c>
      <x:c r="G626" t="n">
        <x:v>23.4</x:v>
      </x:c>
      <x:c r="H626" t="n">
        <x:v>17</x:v>
      </x:c>
      <x:c r="I626" t="n">
        <x:v>6</x:v>
      </x:c>
      <x:c r="J626" t="n">
        <x:v>26</x:v>
      </x:c>
      <x:c r="K626" t="n">
        <x:v>60.4</x:v>
      </x:c>
      <x:c r="L626" t="str">
        <x:v>ASK</x:v>
      </x:c>
      <x:c r="M626" t="str">
        <x:v>◎↺ + □↺ + △ + ◎?</x:v>
      </x:c>
      <x:c r="N626" t="str">
        <x:v>Ni(Catalytic guard) with Ga(Soft form gate): ASK in model.</x:v>
      </x:c>
    </x:row>
    <x:row r="627">
      <x:c r="A627" t="str">
        <x:v>Ni</x:v>
      </x:c>
      <x:c r="B627" t="str">
        <x:v>Ge</x:v>
      </x:c>
      <x:c r="C627" t="str">
        <x:v>Catalytic guard</x:v>
      </x:c>
      <x:c r="D627" t="str">
        <x:v>Semi lattice</x:v>
      </x:c>
      <x:c r="E627" t="str">
        <x:v>◎↺</x:v>
      </x:c>
      <x:c r="F627" t="str">
        <x:v>□◎</x:v>
      </x:c>
      <x:c r="G627" t="n">
        <x:v>23.4</x:v>
      </x:c>
      <x:c r="H627" t="n">
        <x:v>20</x:v>
      </x:c>
      <x:c r="I627" t="n">
        <x:v>5.5</x:v>
      </x:c>
      <x:c r="J627" t="n">
        <x:v>28.5</x:v>
      </x:c>
      <x:c r="K627" t="n">
        <x:v>66.4</x:v>
      </x:c>
      <x:c r="L627" t="str">
        <x:v>ASK</x:v>
      </x:c>
      <x:c r="M627" t="str">
        <x:v>◎↺ + □◎ + △ + ◎?</x:v>
      </x:c>
      <x:c r="N627" t="str">
        <x:v>Ni(Catalytic guard) with Ge(Semi lattice): ASK in model.</x:v>
      </x:c>
    </x:row>
    <x:row r="628">
      <x:c r="A628" t="str">
        <x:v>Ni</x:v>
      </x:c>
      <x:c r="B628" t="str">
        <x:v>As</x:v>
      </x:c>
      <x:c r="C628" t="str">
        <x:v>Catalytic guard</x:v>
      </x:c>
      <x:c r="D628" t="str">
        <x:v>Shadow gate</x:v>
      </x:c>
      <x:c r="E628" t="str">
        <x:v>◎↺</x:v>
      </x:c>
      <x:c r="F628" t="str">
        <x:v>∅◎</x:v>
      </x:c>
      <x:c r="G628" t="n">
        <x:v>28.9</x:v>
      </x:c>
      <x:c r="H628" t="n">
        <x:v>16</x:v>
      </x:c>
      <x:c r="I628" t="n">
        <x:v>10.5</x:v>
      </x:c>
      <x:c r="J628" t="n">
        <x:v>23.5</x:v>
      </x:c>
      <x:c r="K628" t="n">
        <x:v>57.9</x:v>
      </x:c>
      <x:c r="L628" t="str">
        <x:v>REPAIR</x:v>
      </x:c>
      <x:c r="M628" t="str">
        <x:v>◎↺ + ∅◎ + △ + ↺</x:v>
      </x:c>
      <x:c r="N628" t="str">
        <x:v>Ni(Catalytic guard) with As(Shadow gate): REPAIR in model.</x:v>
      </x:c>
    </x:row>
    <x:row r="629">
      <x:c r="A629" t="str">
        <x:v>Ni</x:v>
      </x:c>
      <x:c r="B629" t="str">
        <x:v>Se</x:v>
      </x:c>
      <x:c r="C629" t="str">
        <x:v>Catalytic guard</x:v>
      </x:c>
      <x:c r="D629" t="str">
        <x:v>Trace healer</x:v>
      </x:c>
      <x:c r="E629" t="str">
        <x:v>◎↺</x:v>
      </x:c>
      <x:c r="F629" t="str">
        <x:v>↺◉</x:v>
      </x:c>
      <x:c r="G629" t="n">
        <x:v>30.3</x:v>
      </x:c>
      <x:c r="H629" t="n">
        <x:v>16</x:v>
      </x:c>
      <x:c r="I629" t="n">
        <x:v>7</x:v>
      </x:c>
      <x:c r="J629" t="n">
        <x:v>27</x:v>
      </x:c>
      <x:c r="K629" t="n">
        <x:v>66.3</x:v>
      </x:c>
      <x:c r="L629" t="str">
        <x:v>ASK</x:v>
      </x:c>
      <x:c r="M629" t="str">
        <x:v>◎↺ + ↺◉ + △ + ◎?</x:v>
      </x:c>
      <x:c r="N629" t="str">
        <x:v>Ni(Catalytic guard) with Se(Trace healer): ASK in model.</x:v>
      </x:c>
    </x:row>
    <x:row r="630">
      <x:c r="A630" t="str">
        <x:v>Ni</x:v>
      </x:c>
      <x:c r="B630" t="str">
        <x:v>Br</x:v>
      </x:c>
      <x:c r="C630" t="str">
        <x:v>Catalytic guard</x:v>
      </x:c>
      <x:c r="D630" t="str">
        <x:v>Heavy receiver</x:v>
      </x:c>
      <x:c r="E630" t="str">
        <x:v>◎↺</x:v>
      </x:c>
      <x:c r="F630" t="str">
        <x:v>▽∅</x:v>
      </x:c>
      <x:c r="G630" t="n">
        <x:v>42.6</x:v>
      </x:c>
      <x:c r="H630" t="n">
        <x:v>12</x:v>
      </x:c>
      <x:c r="I630" t="n">
        <x:v>8.5</x:v>
      </x:c>
      <x:c r="J630" t="n">
        <x:v>26</x:v>
      </x:c>
      <x:c r="K630" t="n">
        <x:v>72.1</x:v>
      </x:c>
      <x:c r="L630" t="str">
        <x:v>ASK</x:v>
      </x:c>
      <x:c r="M630" t="str">
        <x:v>◎↺ + ▽∅ + △ + ◎?</x:v>
      </x:c>
      <x:c r="N630" t="str">
        <x:v>Ni(Catalytic guard) with Br(Heavy receiver): ASK in model.</x:v>
      </x:c>
    </x:row>
    <x:row r="631">
      <x:c r="A631" t="str">
        <x:v>Ni</x:v>
      </x:c>
      <x:c r="B631" t="str">
        <x:v>Kr</x:v>
      </x:c>
      <x:c r="C631" t="str">
        <x:v>Catalytic guard</x:v>
      </x:c>
      <x:c r="D631" t="str">
        <x:v>Closed Gate light</x:v>
      </x:c>
      <x:c r="E631" t="str">
        <x:v>◎↺</x:v>
      </x:c>
      <x:c r="F631" t="str">
        <x:v>◎✓</x:v>
      </x:c>
      <x:c r="G631" t="n">
        <x:v>2.8</x:v>
      </x:c>
      <x:c r="H631" t="n">
        <x:v>19</x:v>
      </x:c>
      <x:c r="I631" t="n">
        <x:v>3.5</x:v>
      </x:c>
      <x:c r="J631" t="n">
        <x:v>34</x:v>
      </x:c>
      <x:c r="K631" t="n">
        <x:v>52.3</x:v>
      </x:c>
      <x:c r="L631" t="str">
        <x:v>REPAIR</x:v>
      </x:c>
      <x:c r="M631" t="str">
        <x:v>◎↺ + ◎✓ + △ + ↺</x:v>
      </x:c>
      <x:c r="N631" t="str">
        <x:v>Ni(Catalytic guard) with Kr(Closed Gate light): REPAIR in model.</x:v>
      </x:c>
    </x:row>
    <x:row r="632">
      <x:c r="A632" t="str">
        <x:v>Cu</x:v>
      </x:c>
      <x:c r="B632" t="str">
        <x:v>Cu</x:v>
      </x:c>
      <x:c r="C632" t="str">
        <x:v>Conductor flow</x:v>
      </x:c>
      <x:c r="D632" t="str">
        <x:v>Conductor flow</x:v>
      </x:c>
      <x:c r="E632" t="str">
        <x:v>↺ᛏ</x:v>
      </x:c>
      <x:c r="F632" t="str">
        <x:v>↺ᛏ</x:v>
      </x:c>
      <x:c r="G632" t="n">
        <x:v>33</x:v>
      </x:c>
      <x:c r="H632" t="n">
        <x:v>20</x:v>
      </x:c>
      <x:c r="I632" t="n">
        <x:v>5</x:v>
      </x:c>
      <x:c r="J632" t="n">
        <x:v>27</x:v>
      </x:c>
      <x:c r="K632" t="n">
        <x:v>75</x:v>
      </x:c>
      <x:c r="L632" t="str">
        <x:v>OPEN</x:v>
      </x:c>
      <x:c r="M632" t="str">
        <x:v>↺ᛏ + ↺ᛏ + △ + ◎✓</x:v>
      </x:c>
      <x:c r="N632" t="str">
        <x:v>Cu(Conductor flow) with Cu(Conductor flow): OPEN in model.</x:v>
      </x:c>
    </x:row>
    <x:row r="633">
      <x:c r="A633" t="str">
        <x:v>Cu</x:v>
      </x:c>
      <x:c r="B633" t="str">
        <x:v>Zn</x:v>
      </x:c>
      <x:c r="C633" t="str">
        <x:v>Conductor flow</x:v>
      </x:c>
      <x:c r="D633" t="str">
        <x:v>Enzyme stabilizer</x:v>
      </x:c>
      <x:c r="E633" t="str">
        <x:v>↺ᛏ</x:v>
      </x:c>
      <x:c r="F633" t="str">
        <x:v>◎□</x:v>
      </x:c>
      <x:c r="G633" t="n">
        <x:v>24.5</x:v>
      </x:c>
      <x:c r="H633" t="n">
        <x:v>18</x:v>
      </x:c>
      <x:c r="I633" t="n">
        <x:v>4.5</x:v>
      </x:c>
      <x:c r="J633" t="n">
        <x:v>30</x:v>
      </x:c>
      <x:c r="K633" t="n">
        <x:v>68</x:v>
      </x:c>
      <x:c r="L633" t="str">
        <x:v>ASK</x:v>
      </x:c>
      <x:c r="M633" t="str">
        <x:v>↺ᛏ + ◎□ + △ + ◎?</x:v>
      </x:c>
      <x:c r="N633" t="str">
        <x:v>Cu(Conductor flow) with Zn(Enzyme stabilizer): ASK in model.</x:v>
      </x:c>
    </x:row>
    <x:row r="634">
      <x:c r="A634" t="str">
        <x:v>Cu</x:v>
      </x:c>
      <x:c r="B634" t="str">
        <x:v>Ga</x:v>
      </x:c>
      <x:c r="C634" t="str">
        <x:v>Conductor flow</x:v>
      </x:c>
      <x:c r="D634" t="str">
        <x:v>Soft form gate</x:v>
      </x:c>
      <x:c r="E634" t="str">
        <x:v>↺ᛏ</x:v>
      </x:c>
      <x:c r="F634" t="str">
        <x:v>□↺</x:v>
      </x:c>
      <x:c r="G634" t="n">
        <x:v>24.4</x:v>
      </x:c>
      <x:c r="H634" t="n">
        <x:v>19</x:v>
      </x:c>
      <x:c r="I634" t="n">
        <x:v>5.5</x:v>
      </x:c>
      <x:c r="J634" t="n">
        <x:v>25</x:v>
      </x:c>
      <x:c r="K634" t="n">
        <x:v>62.9</x:v>
      </x:c>
      <x:c r="L634" t="str">
        <x:v>ASK</x:v>
      </x:c>
      <x:c r="M634" t="str">
        <x:v>↺ᛏ + □↺ + △ + ◎?</x:v>
      </x:c>
      <x:c r="N634" t="str">
        <x:v>Cu(Conductor flow) with Ga(Soft form gate): ASK in model.</x:v>
      </x:c>
    </x:row>
    <x:row r="635">
      <x:c r="A635" t="str">
        <x:v>Cu</x:v>
      </x:c>
      <x:c r="B635" t="str">
        <x:v>Ge</x:v>
      </x:c>
      <x:c r="C635" t="str">
        <x:v>Conductor flow</x:v>
      </x:c>
      <x:c r="D635" t="str">
        <x:v>Semi lattice</x:v>
      </x:c>
      <x:c r="E635" t="str">
        <x:v>↺ᛏ</x:v>
      </x:c>
      <x:c r="F635" t="str">
        <x:v>□◎</x:v>
      </x:c>
      <x:c r="G635" t="n">
        <x:v>24.5</x:v>
      </x:c>
      <x:c r="H635" t="n">
        <x:v>18</x:v>
      </x:c>
      <x:c r="I635" t="n">
        <x:v>5</x:v>
      </x:c>
      <x:c r="J635" t="n">
        <x:v>27.5</x:v>
      </x:c>
      <x:c r="K635" t="n">
        <x:v>65</x:v>
      </x:c>
      <x:c r="L635" t="str">
        <x:v>ASK</x:v>
      </x:c>
      <x:c r="M635" t="str">
        <x:v>↺ᛏ + □◎ + △ + ◎?</x:v>
      </x:c>
      <x:c r="N635" t="str">
        <x:v>Cu(Conductor flow) with Ge(Semi lattice): ASK in model.</x:v>
      </x:c>
    </x:row>
    <x:row r="636">
      <x:c r="A636" t="str">
        <x:v>Cu</x:v>
      </x:c>
      <x:c r="B636" t="str">
        <x:v>As</x:v>
      </x:c>
      <x:c r="C636" t="str">
        <x:v>Conductor flow</x:v>
      </x:c>
      <x:c r="D636" t="str">
        <x:v>Shadow gate</x:v>
      </x:c>
      <x:c r="E636" t="str">
        <x:v>↺ᛏ</x:v>
      </x:c>
      <x:c r="F636" t="str">
        <x:v>∅◎</x:v>
      </x:c>
      <x:c r="G636" t="n">
        <x:v>30.2</x:v>
      </x:c>
      <x:c r="H636" t="n">
        <x:v>18</x:v>
      </x:c>
      <x:c r="I636" t="n">
        <x:v>10</x:v>
      </x:c>
      <x:c r="J636" t="n">
        <x:v>22.5</x:v>
      </x:c>
      <x:c r="K636" t="n">
        <x:v>60.7</x:v>
      </x:c>
      <x:c r="L636" t="str">
        <x:v>ASK</x:v>
      </x:c>
      <x:c r="M636" t="str">
        <x:v>↺ᛏ + ∅◎ + △ + ◎?</x:v>
      </x:c>
      <x:c r="N636" t="str">
        <x:v>Cu(Conductor flow) with As(Shadow gate): ASK in model.</x:v>
      </x:c>
    </x:row>
    <x:row r="637">
      <x:c r="A637" t="str">
        <x:v>Cu</x:v>
      </x:c>
      <x:c r="B637" t="str">
        <x:v>Se</x:v>
      </x:c>
      <x:c r="C637" t="str">
        <x:v>Conductor flow</x:v>
      </x:c>
      <x:c r="D637" t="str">
        <x:v>Trace healer</x:v>
      </x:c>
      <x:c r="E637" t="str">
        <x:v>↺ᛏ</x:v>
      </x:c>
      <x:c r="F637" t="str">
        <x:v>↺◉</x:v>
      </x:c>
      <x:c r="G637" t="n">
        <x:v>31.9</x:v>
      </x:c>
      <x:c r="H637" t="n">
        <x:v>18</x:v>
      </x:c>
      <x:c r="I637" t="n">
        <x:v>6.5</x:v>
      </x:c>
      <x:c r="J637" t="n">
        <x:v>26</x:v>
      </x:c>
      <x:c r="K637" t="n">
        <x:v>69.4</x:v>
      </x:c>
      <x:c r="L637" t="str">
        <x:v>ASK</x:v>
      </x:c>
      <x:c r="M637" t="str">
        <x:v>↺ᛏ + ↺◉ + △ + ◎?</x:v>
      </x:c>
      <x:c r="N637" t="str">
        <x:v>Cu(Conductor flow) with Se(Trace healer): ASK in model.</x:v>
      </x:c>
    </x:row>
    <x:row r="638">
      <x:c r="A638" t="str">
        <x:v>Cu</x:v>
      </x:c>
      <x:c r="B638" t="str">
        <x:v>Br</x:v>
      </x:c>
      <x:c r="C638" t="str">
        <x:v>Conductor flow</x:v>
      </x:c>
      <x:c r="D638" t="str">
        <x:v>Heavy receiver</x:v>
      </x:c>
      <x:c r="E638" t="str">
        <x:v>↺ᛏ</x:v>
      </x:c>
      <x:c r="F638" t="str">
        <x:v>▽∅</x:v>
      </x:c>
      <x:c r="G638" t="n">
        <x:v>44.9</x:v>
      </x:c>
      <x:c r="H638" t="n">
        <x:v>14</x:v>
      </x:c>
      <x:c r="I638" t="n">
        <x:v>8</x:v>
      </x:c>
      <x:c r="J638" t="n">
        <x:v>25</x:v>
      </x:c>
      <x:c r="K638" t="n">
        <x:v>75.9</x:v>
      </x:c>
      <x:c r="L638" t="str">
        <x:v>OPEN</x:v>
      </x:c>
      <x:c r="M638" t="str">
        <x:v>↺ᛏ + ▽∅ + △ + ◎✓</x:v>
      </x:c>
      <x:c r="N638" t="str">
        <x:v>Cu(Conductor flow) with Br(Heavy receiver): OPEN in model.</x:v>
      </x:c>
    </x:row>
    <x:row r="639">
      <x:c r="A639" t="str">
        <x:v>Cu</x:v>
      </x:c>
      <x:c r="B639" t="str">
        <x:v>Kr</x:v>
      </x:c>
      <x:c r="C639" t="str">
        <x:v>Conductor flow</x:v>
      </x:c>
      <x:c r="D639" t="str">
        <x:v>Closed Gate light</x:v>
      </x:c>
      <x:c r="E639" t="str">
        <x:v>↺ᛏ</x:v>
      </x:c>
      <x:c r="F639" t="str">
        <x:v>◎✓</x:v>
      </x:c>
      <x:c r="G639" t="n">
        <x:v>2.9</x:v>
      </x:c>
      <x:c r="H639" t="n">
        <x:v>17</x:v>
      </x:c>
      <x:c r="I639" t="n">
        <x:v>3</x:v>
      </x:c>
      <x:c r="J639" t="n">
        <x:v>33</x:v>
      </x:c>
      <x:c r="K639" t="n">
        <x:v>49.9</x:v>
      </x:c>
      <x:c r="L639" t="str">
        <x:v>REPAIR</x:v>
      </x:c>
      <x:c r="M639" t="str">
        <x:v>↺ᛏ + ◎✓ + △ + ↺</x:v>
      </x:c>
      <x:c r="N639" t="str">
        <x:v>Cu(Conductor flow) with Kr(Closed Gate light): REPAIR in model.</x:v>
      </x:c>
    </x:row>
    <x:row r="640">
      <x:c r="A640" t="str">
        <x:v>Zn</x:v>
      </x:c>
      <x:c r="B640" t="str">
        <x:v>Zn</x:v>
      </x:c>
      <x:c r="C640" t="str">
        <x:v>Enzyme stabilizer</x:v>
      </x:c>
      <x:c r="D640" t="str">
        <x:v>Enzyme stabilizer</x:v>
      </x:c>
      <x:c r="E640" t="str">
        <x:v>◎□</x:v>
      </x:c>
      <x:c r="F640" t="str">
        <x:v>◎□</x:v>
      </x:c>
      <x:c r="G640" t="n">
        <x:v>18</x:v>
      </x:c>
      <x:c r="H640" t="n">
        <x:v>20</x:v>
      </x:c>
      <x:c r="I640" t="n">
        <x:v>4</x:v>
      </x:c>
      <x:c r="J640" t="n">
        <x:v>33</x:v>
      </x:c>
      <x:c r="K640" t="n">
        <x:v>67</x:v>
      </x:c>
      <x:c r="L640" t="str">
        <x:v>ASK</x:v>
      </x:c>
      <x:c r="M640" t="str">
        <x:v>◎□ + ◎□ + △ + ◎?</x:v>
      </x:c>
      <x:c r="N640" t="str">
        <x:v>Zn(Enzyme stabilizer) with Zn(Enzyme stabilizer): ASK in model.</x:v>
      </x:c>
    </x:row>
    <x:row r="641">
      <x:c r="A641" t="str">
        <x:v>Zn</x:v>
      </x:c>
      <x:c r="B641" t="str">
        <x:v>Ga</x:v>
      </x:c>
      <x:c r="C641" t="str">
        <x:v>Enzyme stabilizer</x:v>
      </x:c>
      <x:c r="D641" t="str">
        <x:v>Soft form gate</x:v>
      </x:c>
      <x:c r="E641" t="str">
        <x:v>◎□</x:v>
      </x:c>
      <x:c r="F641" t="str">
        <x:v>□↺</x:v>
      </x:c>
      <x:c r="G641" t="n">
        <x:v>18.1</x:v>
      </x:c>
      <x:c r="H641" t="n">
        <x:v>17</x:v>
      </x:c>
      <x:c r="I641" t="n">
        <x:v>5</x:v>
      </x:c>
      <x:c r="J641" t="n">
        <x:v>28</x:v>
      </x:c>
      <x:c r="K641" t="n">
        <x:v>58.1</x:v>
      </x:c>
      <x:c r="L641" t="str">
        <x:v>ASK</x:v>
      </x:c>
      <x:c r="M641" t="str">
        <x:v>◎□ + □↺ + △ + ◎?</x:v>
      </x:c>
      <x:c r="N641" t="str">
        <x:v>Zn(Enzyme stabilizer) with Ga(Soft form gate): ASK in model.</x:v>
      </x:c>
    </x:row>
    <x:row r="642">
      <x:c r="A642" t="str">
        <x:v>Zn</x:v>
      </x:c>
      <x:c r="B642" t="str">
        <x:v>Ge</x:v>
      </x:c>
      <x:c r="C642" t="str">
        <x:v>Enzyme stabilizer</x:v>
      </x:c>
      <x:c r="D642" t="str">
        <x:v>Semi lattice</x:v>
      </x:c>
      <x:c r="E642" t="str">
        <x:v>◎□</x:v>
      </x:c>
      <x:c r="F642" t="str">
        <x:v>□◎</x:v>
      </x:c>
      <x:c r="G642" t="n">
        <x:v>18</x:v>
      </x:c>
      <x:c r="H642" t="n">
        <x:v>20</x:v>
      </x:c>
      <x:c r="I642" t="n">
        <x:v>4.5</x:v>
      </x:c>
      <x:c r="J642" t="n">
        <x:v>30.5</x:v>
      </x:c>
      <x:c r="K642" t="n">
        <x:v>64</x:v>
      </x:c>
      <x:c r="L642" t="str">
        <x:v>ASK</x:v>
      </x:c>
      <x:c r="M642" t="str">
        <x:v>◎□ + □◎ + △ + ◎?</x:v>
      </x:c>
      <x:c r="N642" t="str">
        <x:v>Zn(Enzyme stabilizer) with Ge(Semi lattice): ASK in model.</x:v>
      </x:c>
    </x:row>
    <x:row r="643">
      <x:c r="A643" t="str">
        <x:v>Zn</x:v>
      </x:c>
      <x:c r="B643" t="str">
        <x:v>As</x:v>
      </x:c>
      <x:c r="C643" t="str">
        <x:v>Enzyme stabilizer</x:v>
      </x:c>
      <x:c r="D643" t="str">
        <x:v>Shadow gate</x:v>
      </x:c>
      <x:c r="E643" t="str">
        <x:v>◎□</x:v>
      </x:c>
      <x:c r="F643" t="str">
        <x:v>∅◎</x:v>
      </x:c>
      <x:c r="G643" t="n">
        <x:v>22.3</x:v>
      </x:c>
      <x:c r="H643" t="n">
        <x:v>16</x:v>
      </x:c>
      <x:c r="I643" t="n">
        <x:v>9.5</x:v>
      </x:c>
      <x:c r="J643" t="n">
        <x:v>25.5</x:v>
      </x:c>
      <x:c r="K643" t="n">
        <x:v>54.3</x:v>
      </x:c>
      <x:c r="L643" t="str">
        <x:v>REPAIR</x:v>
      </x:c>
      <x:c r="M643" t="str">
        <x:v>◎□ + ∅◎ + △ + ↺</x:v>
      </x:c>
      <x:c r="N643" t="str">
        <x:v>Zn(Enzyme stabilizer) with As(Shadow gate): REPAIR in model.</x:v>
      </x:c>
    </x:row>
    <x:row r="644">
      <x:c r="A644" t="str">
        <x:v>Zn</x:v>
      </x:c>
      <x:c r="B644" t="str">
        <x:v>Se</x:v>
      </x:c>
      <x:c r="C644" t="str">
        <x:v>Enzyme stabilizer</x:v>
      </x:c>
      <x:c r="D644" t="str">
        <x:v>Trace healer</x:v>
      </x:c>
      <x:c r="E644" t="str">
        <x:v>◎□</x:v>
      </x:c>
      <x:c r="F644" t="str">
        <x:v>↺◉</x:v>
      </x:c>
      <x:c r="G644" t="n">
        <x:v>23.1</x:v>
      </x:c>
      <x:c r="H644" t="n">
        <x:v>16</x:v>
      </x:c>
      <x:c r="I644" t="n">
        <x:v>6</x:v>
      </x:c>
      <x:c r="J644" t="n">
        <x:v>29</x:v>
      </x:c>
      <x:c r="K644" t="n">
        <x:v>62.1</x:v>
      </x:c>
      <x:c r="L644" t="str">
        <x:v>ASK</x:v>
      </x:c>
      <x:c r="M644" t="str">
        <x:v>◎□ + ↺◉ + △ + ◎?</x:v>
      </x:c>
      <x:c r="N644" t="str">
        <x:v>Zn(Enzyme stabilizer) with Se(Trace healer): ASK in model.</x:v>
      </x:c>
    </x:row>
    <x:row r="645">
      <x:c r="A645" t="str">
        <x:v>Zn</x:v>
      </x:c>
      <x:c r="B645" t="str">
        <x:v>Br</x:v>
      </x:c>
      <x:c r="C645" t="str">
        <x:v>Enzyme stabilizer</x:v>
      </x:c>
      <x:c r="D645" t="str">
        <x:v>Heavy receiver</x:v>
      </x:c>
      <x:c r="E645" t="str">
        <x:v>◎□</x:v>
      </x:c>
      <x:c r="F645" t="str">
        <x:v>▽∅</x:v>
      </x:c>
      <x:c r="G645" t="n">
        <x:v>32.6</x:v>
      </x:c>
      <x:c r="H645" t="n">
        <x:v>12</x:v>
      </x:c>
      <x:c r="I645" t="n">
        <x:v>7.5</x:v>
      </x:c>
      <x:c r="J645" t="n">
        <x:v>28</x:v>
      </x:c>
      <x:c r="K645" t="n">
        <x:v>65.1</x:v>
      </x:c>
      <x:c r="L645" t="str">
        <x:v>ASK</x:v>
      </x:c>
      <x:c r="M645" t="str">
        <x:v>◎□ + ▽∅ + △ + ◎?</x:v>
      </x:c>
      <x:c r="N645" t="str">
        <x:v>Zn(Enzyme stabilizer) with Br(Heavy receiver): ASK in model.</x:v>
      </x:c>
    </x:row>
    <x:row r="646">
      <x:c r="A646" t="str">
        <x:v>Zn</x:v>
      </x:c>
      <x:c r="B646" t="str">
        <x:v>Kr</x:v>
      </x:c>
      <x:c r="C646" t="str">
        <x:v>Enzyme stabilizer</x:v>
      </x:c>
      <x:c r="D646" t="str">
        <x:v>Closed Gate light</x:v>
      </x:c>
      <x:c r="E646" t="str">
        <x:v>◎□</x:v>
      </x:c>
      <x:c r="F646" t="str">
        <x:v>◎✓</x:v>
      </x:c>
      <x:c r="G646" t="n">
        <x:v>2.1</x:v>
      </x:c>
      <x:c r="H646" t="n">
        <x:v>19</x:v>
      </x:c>
      <x:c r="I646" t="n">
        <x:v>2.5</x:v>
      </x:c>
      <x:c r="J646" t="n">
        <x:v>36</x:v>
      </x:c>
      <x:c r="K646" t="n">
        <x:v>54.6</x:v>
      </x:c>
      <x:c r="L646" t="str">
        <x:v>REPAIR</x:v>
      </x:c>
      <x:c r="M646" t="str">
        <x:v>◎□ + ◎✓ + △ + ↺</x:v>
      </x:c>
      <x:c r="N646" t="str">
        <x:v>Zn(Enzyme stabilizer) with Kr(Closed Gate light): REPAIR in model.</x:v>
      </x:c>
    </x:row>
    <x:row r="647">
      <x:c r="A647" t="str">
        <x:v>Ga</x:v>
      </x:c>
      <x:c r="B647" t="str">
        <x:v>Ga</x:v>
      </x:c>
      <x:c r="C647" t="str">
        <x:v>Soft form gate</x:v>
      </x:c>
      <x:c r="D647" t="str">
        <x:v>Soft form gate</x:v>
      </x:c>
      <x:c r="E647" t="str">
        <x:v>□↺</x:v>
      </x:c>
      <x:c r="F647" t="str">
        <x:v>□↺</x:v>
      </x:c>
      <x:c r="G647" t="n">
        <x:v>18</x:v>
      </x:c>
      <x:c r="H647" t="n">
        <x:v>20</x:v>
      </x:c>
      <x:c r="I647" t="n">
        <x:v>6</x:v>
      </x:c>
      <x:c r="J647" t="n">
        <x:v>23</x:v>
      </x:c>
      <x:c r="K647" t="n">
        <x:v>55</x:v>
      </x:c>
      <x:c r="L647" t="str">
        <x:v>REPAIR</x:v>
      </x:c>
      <x:c r="M647" t="str">
        <x:v>□↺ + □↺ + △ + ↺</x:v>
      </x:c>
      <x:c r="N647" t="str">
        <x:v>Ga(Soft form gate) with Ga(Soft form gate): REPAIR in model.</x:v>
      </x:c>
    </x:row>
    <x:row r="648">
      <x:c r="A648" t="str">
        <x:v>Ga</x:v>
      </x:c>
      <x:c r="B648" t="str">
        <x:v>Ge</x:v>
      </x:c>
      <x:c r="C648" t="str">
        <x:v>Soft form gate</x:v>
      </x:c>
      <x:c r="D648" t="str">
        <x:v>Semi lattice</x:v>
      </x:c>
      <x:c r="E648" t="str">
        <x:v>□↺</x:v>
      </x:c>
      <x:c r="F648" t="str">
        <x:v>□◎</x:v>
      </x:c>
      <x:c r="G648" t="n">
        <x:v>18.1</x:v>
      </x:c>
      <x:c r="H648" t="n">
        <x:v>17</x:v>
      </x:c>
      <x:c r="I648" t="n">
        <x:v>5.5</x:v>
      </x:c>
      <x:c r="J648" t="n">
        <x:v>25.5</x:v>
      </x:c>
      <x:c r="K648" t="n">
        <x:v>55.1</x:v>
      </x:c>
      <x:c r="L648" t="str">
        <x:v>REPAIR</x:v>
      </x:c>
      <x:c r="M648" t="str">
        <x:v>□↺ + □◎ + △ + ↺</x:v>
      </x:c>
      <x:c r="N648" t="str">
        <x:v>Ga(Soft form gate) with Ge(Semi lattice): REPAIR in model.</x:v>
      </x:c>
    </x:row>
    <x:row r="649">
      <x:c r="A649" t="str">
        <x:v>Ga</x:v>
      </x:c>
      <x:c r="B649" t="str">
        <x:v>As</x:v>
      </x:c>
      <x:c r="C649" t="str">
        <x:v>Soft form gate</x:v>
      </x:c>
      <x:c r="D649" t="str">
        <x:v>Shadow gate</x:v>
      </x:c>
      <x:c r="E649" t="str">
        <x:v>□↺</x:v>
      </x:c>
      <x:c r="F649" t="str">
        <x:v>∅◎</x:v>
      </x:c>
      <x:c r="G649" t="n">
        <x:v>22.4</x:v>
      </x:c>
      <x:c r="H649" t="n">
        <x:v>19</x:v>
      </x:c>
      <x:c r="I649" t="n">
        <x:v>10.5</x:v>
      </x:c>
      <x:c r="J649" t="n">
        <x:v>20.5</x:v>
      </x:c>
      <x:c r="K649" t="n">
        <x:v>51.4</x:v>
      </x:c>
      <x:c r="L649" t="str">
        <x:v>REPAIR</x:v>
      </x:c>
      <x:c r="M649" t="str">
        <x:v>□↺ + ∅◎ + △ + ↺</x:v>
      </x:c>
      <x:c r="N649" t="str">
        <x:v>Ga(Soft form gate) with As(Shadow gate): REPAIR in model.</x:v>
      </x:c>
    </x:row>
    <x:row r="650">
      <x:c r="A650" t="str">
        <x:v>Ga</x:v>
      </x:c>
      <x:c r="B650" t="str">
        <x:v>Se</x:v>
      </x:c>
      <x:c r="C650" t="str">
        <x:v>Soft form gate</x:v>
      </x:c>
      <x:c r="D650" t="str">
        <x:v>Trace healer</x:v>
      </x:c>
      <x:c r="E650" t="str">
        <x:v>□↺</x:v>
      </x:c>
      <x:c r="F650" t="str">
        <x:v>↺◉</x:v>
      </x:c>
      <x:c r="G650" t="n">
        <x:v>23.6</x:v>
      </x:c>
      <x:c r="H650" t="n">
        <x:v>19</x:v>
      </x:c>
      <x:c r="I650" t="n">
        <x:v>7</x:v>
      </x:c>
      <x:c r="J650" t="n">
        <x:v>24</x:v>
      </x:c>
      <x:c r="K650" t="n">
        <x:v>59.6</x:v>
      </x:c>
      <x:c r="L650" t="str">
        <x:v>ASK</x:v>
      </x:c>
      <x:c r="M650" t="str">
        <x:v>□↺ + ↺◉ + △ + ◎?</x:v>
      </x:c>
      <x:c r="N650" t="str">
        <x:v>Ga(Soft form gate) with Se(Trace healer): ASK in model.</x:v>
      </x:c>
    </x:row>
    <x:row r="651">
      <x:c r="A651" t="str">
        <x:v>Ga</x:v>
      </x:c>
      <x:c r="B651" t="str">
        <x:v>Br</x:v>
      </x:c>
      <x:c r="C651" t="str">
        <x:v>Soft form gate</x:v>
      </x:c>
      <x:c r="D651" t="str">
        <x:v>Heavy receiver</x:v>
      </x:c>
      <x:c r="E651" t="str">
        <x:v>□↺</x:v>
      </x:c>
      <x:c r="F651" t="str">
        <x:v>▽∅</x:v>
      </x:c>
      <x:c r="G651" t="n">
        <x:v>33.2</x:v>
      </x:c>
      <x:c r="H651" t="n">
        <x:v>15</x:v>
      </x:c>
      <x:c r="I651" t="n">
        <x:v>8.5</x:v>
      </x:c>
      <x:c r="J651" t="n">
        <x:v>23</x:v>
      </x:c>
      <x:c r="K651" t="n">
        <x:v>62.7</x:v>
      </x:c>
      <x:c r="L651" t="str">
        <x:v>ASK</x:v>
      </x:c>
      <x:c r="M651" t="str">
        <x:v>□↺ + ▽∅ + △ + ◎?</x:v>
      </x:c>
      <x:c r="N651" t="str">
        <x:v>Ga(Soft form gate) with Br(Heavy receiver): ASK in model.</x:v>
      </x:c>
    </x:row>
    <x:row r="652">
      <x:c r="A652" t="str">
        <x:v>Ga</x:v>
      </x:c>
      <x:c r="B652" t="str">
        <x:v>Kr</x:v>
      </x:c>
      <x:c r="C652" t="str">
        <x:v>Soft form gate</x:v>
      </x:c>
      <x:c r="D652" t="str">
        <x:v>Closed Gate light</x:v>
      </x:c>
      <x:c r="E652" t="str">
        <x:v>□↺</x:v>
      </x:c>
      <x:c r="F652" t="str">
        <x:v>◎✓</x:v>
      </x:c>
      <x:c r="G652" t="n">
        <x:v>2.1</x:v>
      </x:c>
      <x:c r="H652" t="n">
        <x:v>16</x:v>
      </x:c>
      <x:c r="I652" t="n">
        <x:v>3.5</x:v>
      </x:c>
      <x:c r="J652" t="n">
        <x:v>31</x:v>
      </x:c>
      <x:c r="K652" t="n">
        <x:v>45.6</x:v>
      </x:c>
      <x:c r="L652" t="str">
        <x:v>REPAIR</x:v>
      </x:c>
      <x:c r="M652" t="str">
        <x:v>□↺ + ◎✓ + △ + ↺</x:v>
      </x:c>
      <x:c r="N652" t="str">
        <x:v>Ga(Soft form gate) with Kr(Closed Gate light): REPAIR in model.</x:v>
      </x:c>
    </x:row>
    <x:row r="653">
      <x:c r="A653" t="str">
        <x:v>Ge</x:v>
      </x:c>
      <x:c r="B653" t="str">
        <x:v>Ge</x:v>
      </x:c>
      <x:c r="C653" t="str">
        <x:v>Semi lattice</x:v>
      </x:c>
      <x:c r="D653" t="str">
        <x:v>Semi lattice</x:v>
      </x:c>
      <x:c r="E653" t="str">
        <x:v>□◎</x:v>
      </x:c>
      <x:c r="F653" t="str">
        <x:v>□◎</x:v>
      </x:c>
      <x:c r="G653" t="n">
        <x:v>18</x:v>
      </x:c>
      <x:c r="H653" t="n">
        <x:v>20</x:v>
      </x:c>
      <x:c r="I653" t="n">
        <x:v>5</x:v>
      </x:c>
      <x:c r="J653" t="n">
        <x:v>28</x:v>
      </x:c>
      <x:c r="K653" t="n">
        <x:v>61</x:v>
      </x:c>
      <x:c r="L653" t="str">
        <x:v>ASK</x:v>
      </x:c>
      <x:c r="M653" t="str">
        <x:v>□◎ + □◎ + △ + ◎?</x:v>
      </x:c>
      <x:c r="N653" t="str">
        <x:v>Ge(Semi lattice) with Ge(Semi lattice): ASK in model.</x:v>
      </x:c>
    </x:row>
    <x:row r="654">
      <x:c r="A654" t="str">
        <x:v>Ge</x:v>
      </x:c>
      <x:c r="B654" t="str">
        <x:v>As</x:v>
      </x:c>
      <x:c r="C654" t="str">
        <x:v>Semi lattice</x:v>
      </x:c>
      <x:c r="D654" t="str">
        <x:v>Shadow gate</x:v>
      </x:c>
      <x:c r="E654" t="str">
        <x:v>□◎</x:v>
      </x:c>
      <x:c r="F654" t="str">
        <x:v>∅◎</x:v>
      </x:c>
      <x:c r="G654" t="n">
        <x:v>22.3</x:v>
      </x:c>
      <x:c r="H654" t="n">
        <x:v>16</x:v>
      </x:c>
      <x:c r="I654" t="n">
        <x:v>10</x:v>
      </x:c>
      <x:c r="J654" t="n">
        <x:v>23</x:v>
      </x:c>
      <x:c r="K654" t="n">
        <x:v>51.3</x:v>
      </x:c>
      <x:c r="L654" t="str">
        <x:v>REPAIR</x:v>
      </x:c>
      <x:c r="M654" t="str">
        <x:v>□◎ + ∅◎ + △ + ↺</x:v>
      </x:c>
      <x:c r="N654" t="str">
        <x:v>Ge(Semi lattice) with As(Shadow gate): REPAIR in model.</x:v>
      </x:c>
    </x:row>
    <x:row r="655">
      <x:c r="A655" t="str">
        <x:v>Ge</x:v>
      </x:c>
      <x:c r="B655" t="str">
        <x:v>Se</x:v>
      </x:c>
      <x:c r="C655" t="str">
        <x:v>Semi lattice</x:v>
      </x:c>
      <x:c r="D655" t="str">
        <x:v>Trace healer</x:v>
      </x:c>
      <x:c r="E655" t="str">
        <x:v>□◎</x:v>
      </x:c>
      <x:c r="F655" t="str">
        <x:v>↺◉</x:v>
      </x:c>
      <x:c r="G655" t="n">
        <x:v>23.1</x:v>
      </x:c>
      <x:c r="H655" t="n">
        <x:v>16</x:v>
      </x:c>
      <x:c r="I655" t="n">
        <x:v>6.5</x:v>
      </x:c>
      <x:c r="J655" t="n">
        <x:v>26.5</x:v>
      </x:c>
      <x:c r="K655" t="n">
        <x:v>59.1</x:v>
      </x:c>
      <x:c r="L655" t="str">
        <x:v>ASK</x:v>
      </x:c>
      <x:c r="M655" t="str">
        <x:v>□◎ + ↺◉ + △ + ◎?</x:v>
      </x:c>
      <x:c r="N655" t="str">
        <x:v>Ge(Semi lattice) with Se(Trace healer): ASK in model.</x:v>
      </x:c>
    </x:row>
    <x:row r="656">
      <x:c r="A656" t="str">
        <x:v>Ge</x:v>
      </x:c>
      <x:c r="B656" t="str">
        <x:v>Br</x:v>
      </x:c>
      <x:c r="C656" t="str">
        <x:v>Semi lattice</x:v>
      </x:c>
      <x:c r="D656" t="str">
        <x:v>Heavy receiver</x:v>
      </x:c>
      <x:c r="E656" t="str">
        <x:v>□◎</x:v>
      </x:c>
      <x:c r="F656" t="str">
        <x:v>▽∅</x:v>
      </x:c>
      <x:c r="G656" t="n">
        <x:v>32.6</x:v>
      </x:c>
      <x:c r="H656" t="n">
        <x:v>12</x:v>
      </x:c>
      <x:c r="I656" t="n">
        <x:v>8</x:v>
      </x:c>
      <x:c r="J656" t="n">
        <x:v>25.5</x:v>
      </x:c>
      <x:c r="K656" t="n">
        <x:v>62.1</x:v>
      </x:c>
      <x:c r="L656" t="str">
        <x:v>ASK</x:v>
      </x:c>
      <x:c r="M656" t="str">
        <x:v>□◎ + ▽∅ + △ + ◎?</x:v>
      </x:c>
      <x:c r="N656" t="str">
        <x:v>Ge(Semi lattice) with Br(Heavy receiver): ASK in model.</x:v>
      </x:c>
    </x:row>
    <x:row r="657">
      <x:c r="A657" t="str">
        <x:v>Ge</x:v>
      </x:c>
      <x:c r="B657" t="str">
        <x:v>Kr</x:v>
      </x:c>
      <x:c r="C657" t="str">
        <x:v>Semi lattice</x:v>
      </x:c>
      <x:c r="D657" t="str">
        <x:v>Closed Gate light</x:v>
      </x:c>
      <x:c r="E657" t="str">
        <x:v>□◎</x:v>
      </x:c>
      <x:c r="F657" t="str">
        <x:v>◎✓</x:v>
      </x:c>
      <x:c r="G657" t="n">
        <x:v>2.1</x:v>
      </x:c>
      <x:c r="H657" t="n">
        <x:v>19</x:v>
      </x:c>
      <x:c r="I657" t="n">
        <x:v>3</x:v>
      </x:c>
      <x:c r="J657" t="n">
        <x:v>33.5</x:v>
      </x:c>
      <x:c r="K657" t="n">
        <x:v>51.6</x:v>
      </x:c>
      <x:c r="L657" t="str">
        <x:v>REPAIR</x:v>
      </x:c>
      <x:c r="M657" t="str">
        <x:v>□◎ + ◎✓ + △ + ↺</x:v>
      </x:c>
      <x:c r="N657" t="str">
        <x:v>Ge(Semi lattice) with Kr(Closed Gate light): REPAIR in model.</x:v>
      </x:c>
    </x:row>
    <x:row r="658">
      <x:c r="A658" t="str">
        <x:v>As</x:v>
      </x:c>
      <x:c r="B658" t="str">
        <x:v>As</x:v>
      </x:c>
      <x:c r="C658" t="str">
        <x:v>Shadow gate</x:v>
      </x:c>
      <x:c r="D658" t="str">
        <x:v>Shadow gate</x:v>
      </x:c>
      <x:c r="E658" t="str">
        <x:v>∅◎</x:v>
      </x:c>
      <x:c r="F658" t="str">
        <x:v>∅◎</x:v>
      </x:c>
      <x:c r="G658" t="n">
        <x:v>27.5</x:v>
      </x:c>
      <x:c r="H658" t="n">
        <x:v>20</x:v>
      </x:c>
      <x:c r="I658" t="n">
        <x:v>15</x:v>
      </x:c>
      <x:c r="J658" t="n">
        <x:v>18</x:v>
      </x:c>
      <x:c r="K658" t="n">
        <x:v>50.5</x:v>
      </x:c>
      <x:c r="L658" t="str">
        <x:v>REPAIR</x:v>
      </x:c>
      <x:c r="M658" t="str">
        <x:v>∅◎ + ∅◎ + △ + ↺</x:v>
      </x:c>
      <x:c r="N658" t="str">
        <x:v>As(Shadow gate) with As(Shadow gate): REPAIR in model.</x:v>
      </x:c>
    </x:row>
    <x:row r="659">
      <x:c r="A659" t="str">
        <x:v>As</x:v>
      </x:c>
      <x:c r="B659" t="str">
        <x:v>Se</x:v>
      </x:c>
      <x:c r="C659" t="str">
        <x:v>Shadow gate</x:v>
      </x:c>
      <x:c r="D659" t="str">
        <x:v>Trace healer</x:v>
      </x:c>
      <x:c r="E659" t="str">
        <x:v>∅◎</x:v>
      </x:c>
      <x:c r="F659" t="str">
        <x:v>↺◉</x:v>
      </x:c>
      <x:c r="G659" t="n">
        <x:v>28.6</x:v>
      </x:c>
      <x:c r="H659" t="n">
        <x:v>20</x:v>
      </x:c>
      <x:c r="I659" t="n">
        <x:v>11.5</x:v>
      </x:c>
      <x:c r="J659" t="n">
        <x:v>21.5</x:v>
      </x:c>
      <x:c r="K659" t="n">
        <x:v>58.6</x:v>
      </x:c>
      <x:c r="L659" t="str">
        <x:v>ASK</x:v>
      </x:c>
      <x:c r="M659" t="str">
        <x:v>∅◎ + ↺◉ + △ + ◎?</x:v>
      </x:c>
      <x:c r="N659" t="str">
        <x:v>As(Shadow gate) with Se(Trace healer): ASK in model.</x:v>
      </x:c>
    </x:row>
    <x:row r="660">
      <x:c r="A660" t="str">
        <x:v>As</x:v>
      </x:c>
      <x:c r="B660" t="str">
        <x:v>Br</x:v>
      </x:c>
      <x:c r="C660" t="str">
        <x:v>Shadow gate</x:v>
      </x:c>
      <x:c r="D660" t="str">
        <x:v>Heavy receiver</x:v>
      </x:c>
      <x:c r="E660" t="str">
        <x:v>∅◎</x:v>
      </x:c>
      <x:c r="F660" t="str">
        <x:v>▽∅</x:v>
      </x:c>
      <x:c r="G660" t="n">
        <x:v>40.4</x:v>
      </x:c>
      <x:c r="H660" t="n">
        <x:v>16</x:v>
      </x:c>
      <x:c r="I660" t="n">
        <x:v>13</x:v>
      </x:c>
      <x:c r="J660" t="n">
        <x:v>20.5</x:v>
      </x:c>
      <x:c r="K660" t="n">
        <x:v>63.9</x:v>
      </x:c>
      <x:c r="L660" t="str">
        <x:v>ASK</x:v>
      </x:c>
      <x:c r="M660" t="str">
        <x:v>∅◎ + ▽∅ + △ + ◎?</x:v>
      </x:c>
      <x:c r="N660" t="str">
        <x:v>As(Shadow gate) with Br(Heavy receiver): ASK in model.</x:v>
      </x:c>
    </x:row>
    <x:row r="661">
      <x:c r="A661" t="str">
        <x:v>As</x:v>
      </x:c>
      <x:c r="B661" t="str">
        <x:v>Kr</x:v>
      </x:c>
      <x:c r="C661" t="str">
        <x:v>Shadow gate</x:v>
      </x:c>
      <x:c r="D661" t="str">
        <x:v>Closed Gate light</x:v>
      </x:c>
      <x:c r="E661" t="str">
        <x:v>∅◎</x:v>
      </x:c>
      <x:c r="F661" t="str">
        <x:v>◎✓</x:v>
      </x:c>
      <x:c r="G661" t="n">
        <x:v>2.6</x:v>
      </x:c>
      <x:c r="H661" t="n">
        <x:v>15</x:v>
      </x:c>
      <x:c r="I661" t="n">
        <x:v>8</x:v>
      </x:c>
      <x:c r="J661" t="n">
        <x:v>28.5</x:v>
      </x:c>
      <x:c r="K661" t="n">
        <x:v>38.1</x:v>
      </x:c>
      <x:c r="L661" t="str">
        <x:v>HOLD</x:v>
      </x:c>
      <x:c r="M661" t="str">
        <x:v>∅◎ + ◎✓ + △ + HOLD</x:v>
      </x:c>
      <x:c r="N661" t="str">
        <x:v>As(Shadow gate) with Kr(Closed Gate light): HOLD in model.</x:v>
      </x:c>
    </x:row>
    <x:row r="662">
      <x:c r="A662" t="str">
        <x:v>Se</x:v>
      </x:c>
      <x:c r="B662" t="str">
        <x:v>Se</x:v>
      </x:c>
      <x:c r="C662" t="str">
        <x:v>Trace healer</x:v>
      </x:c>
      <x:c r="D662" t="str">
        <x:v>Trace healer</x:v>
      </x:c>
      <x:c r="E662" t="str">
        <x:v>↺◉</x:v>
      </x:c>
      <x:c r="F662" t="str">
        <x:v>↺◉</x:v>
      </x:c>
      <x:c r="G662" t="n">
        <x:v>29.3</x:v>
      </x:c>
      <x:c r="H662" t="n">
        <x:v>20</x:v>
      </x:c>
      <x:c r="I662" t="n">
        <x:v>8</x:v>
      </x:c>
      <x:c r="J662" t="n">
        <x:v>25</x:v>
      </x:c>
      <x:c r="K662" t="n">
        <x:v>66.3</x:v>
      </x:c>
      <x:c r="L662" t="str">
        <x:v>ASK</x:v>
      </x:c>
      <x:c r="M662" t="str">
        <x:v>↺◉ + ↺◉ + △ + ◎?</x:v>
      </x:c>
      <x:c r="N662" t="str">
        <x:v>Se(Trace healer) with Se(Trace healer): ASK in model.</x:v>
      </x:c>
    </x:row>
    <x:row r="663">
      <x:c r="A663" t="str">
        <x:v>Se</x:v>
      </x:c>
      <x:c r="B663" t="str">
        <x:v>Br</x:v>
      </x:c>
      <x:c r="C663" t="str">
        <x:v>Trace healer</x:v>
      </x:c>
      <x:c r="D663" t="str">
        <x:v>Heavy receiver</x:v>
      </x:c>
      <x:c r="E663" t="str">
        <x:v>↺◉</x:v>
      </x:c>
      <x:c r="F663" t="str">
        <x:v>▽∅</x:v>
      </x:c>
      <x:c r="G663" t="n">
        <x:v>41.4</x:v>
      </x:c>
      <x:c r="H663" t="n">
        <x:v>16</x:v>
      </x:c>
      <x:c r="I663" t="n">
        <x:v>9.5</x:v>
      </x:c>
      <x:c r="J663" t="n">
        <x:v>24</x:v>
      </x:c>
      <x:c r="K663" t="n">
        <x:v>71.9</x:v>
      </x:c>
      <x:c r="L663" t="str">
        <x:v>ASK</x:v>
      </x:c>
      <x:c r="M663" t="str">
        <x:v>↺◉ + ▽∅ + △ + ◎?</x:v>
      </x:c>
      <x:c r="N663" t="str">
        <x:v>Se(Trace healer) with Br(Heavy receiver): ASK in model.</x:v>
      </x:c>
    </x:row>
    <x:row r="664">
      <x:c r="A664" t="str">
        <x:v>Se</x:v>
      </x:c>
      <x:c r="B664" t="str">
        <x:v>Kr</x:v>
      </x:c>
      <x:c r="C664" t="str">
        <x:v>Trace healer</x:v>
      </x:c>
      <x:c r="D664" t="str">
        <x:v>Closed Gate light</x:v>
      </x:c>
      <x:c r="E664" t="str">
        <x:v>↺◉</x:v>
      </x:c>
      <x:c r="F664" t="str">
        <x:v>◎✓</x:v>
      </x:c>
      <x:c r="G664" t="n">
        <x:v>2.8</x:v>
      </x:c>
      <x:c r="H664" t="n">
        <x:v>15</x:v>
      </x:c>
      <x:c r="I664" t="n">
        <x:v>4.5</x:v>
      </x:c>
      <x:c r="J664" t="n">
        <x:v>32</x:v>
      </x:c>
      <x:c r="K664" t="n">
        <x:v>45.3</x:v>
      </x:c>
      <x:c r="L664" t="str">
        <x:v>REPAIR</x:v>
      </x:c>
      <x:c r="M664" t="str">
        <x:v>↺◉ + ◎✓ + △ + ↺</x:v>
      </x:c>
      <x:c r="N664" t="str">
        <x:v>Se(Trace healer) with Kr(Closed Gate light): REPAIR in model.</x:v>
      </x:c>
    </x:row>
    <x:row r="665">
      <x:c r="A665" t="str">
        <x:v>Br</x:v>
      </x:c>
      <x:c r="B665" t="str">
        <x:v>Br</x:v>
      </x:c>
      <x:c r="C665" t="str">
        <x:v>Heavy receiver</x:v>
      </x:c>
      <x:c r="D665" t="str">
        <x:v>Heavy receiver</x:v>
      </x:c>
      <x:c r="E665" t="str">
        <x:v>▽∅</x:v>
      </x:c>
      <x:c r="F665" t="str">
        <x:v>▽∅</x:v>
      </x:c>
      <x:c r="G665" t="n">
        <x:v>58.5</x:v>
      </x:c>
      <x:c r="H665" t="n">
        <x:v>20</x:v>
      </x:c>
      <x:c r="I665" t="n">
        <x:v>11</x:v>
      </x:c>
      <x:c r="J665" t="n">
        <x:v>23</x:v>
      </x:c>
      <x:c r="K665" t="n">
        <x:v>90.5</x:v>
      </x:c>
      <x:c r="L665" t="str">
        <x:v>OPEN</x:v>
      </x:c>
      <x:c r="M665" t="str">
        <x:v>▽∅ + ▽∅ + △ + ◎✓</x:v>
      </x:c>
      <x:c r="N665" t="str">
        <x:v>Br(Heavy receiver) with Br(Heavy receiver): OPEN in model.</x:v>
      </x:c>
    </x:row>
    <x:row r="666">
      <x:c r="A666" t="str">
        <x:v>Br</x:v>
      </x:c>
      <x:c r="B666" t="str">
        <x:v>Kr</x:v>
      </x:c>
      <x:c r="C666" t="str">
        <x:v>Heavy receiver</x:v>
      </x:c>
      <x:c r="D666" t="str">
        <x:v>Closed Gate light</x:v>
      </x:c>
      <x:c r="E666" t="str">
        <x:v>▽∅</x:v>
      </x:c>
      <x:c r="F666" t="str">
        <x:v>◎✓</x:v>
      </x:c>
      <x:c r="G666" t="n">
        <x:v>3.9</x:v>
      </x:c>
      <x:c r="H666" t="n">
        <x:v>11</x:v>
      </x:c>
      <x:c r="I666" t="n">
        <x:v>6</x:v>
      </x:c>
      <x:c r="J666" t="n">
        <x:v>31</x:v>
      </x:c>
      <x:c r="K666" t="n">
        <x:v>39.9</x:v>
      </x:c>
      <x:c r="L666" t="str">
        <x:v>HOLD</x:v>
      </x:c>
      <x:c r="M666" t="str">
        <x:v>▽∅ + ◎✓ + △ + HOLD</x:v>
      </x:c>
      <x:c r="N666" t="str">
        <x:v>Br(Heavy receiver) with Kr(Closed Gate light): HOLD in model.</x:v>
      </x:c>
    </x:row>
    <x:row r="667">
      <x:c r="A667" t="str">
        <x:v>Kr</x:v>
      </x:c>
      <x:c r="B667" t="str">
        <x:v>Kr</x:v>
      </x:c>
      <x:c r="C667" t="str">
        <x:v>Closed Gate light</x:v>
      </x:c>
      <x:c r="D667" t="str">
        <x:v>Closed Gate light</x:v>
      </x:c>
      <x:c r="E667" t="str">
        <x:v>◎✓</x:v>
      </x:c>
      <x:c r="F667" t="str">
        <x:v>◎✓</x:v>
      </x:c>
      <x:c r="G667" t="n">
        <x:v>0.3</x:v>
      </x:c>
      <x:c r="H667" t="n">
        <x:v>20</x:v>
      </x:c>
      <x:c r="I667" t="n">
        <x:v>1</x:v>
      </x:c>
      <x:c r="J667" t="n">
        <x:v>39</x:v>
      </x:c>
      <x:c r="K667" t="n">
        <x:v>58.3</x:v>
      </x:c>
      <x:c r="L667" t="str">
        <x:v>ASK</x:v>
      </x:c>
      <x:c r="M667" t="str">
        <x:v>◎✓ + ◎✓ + △ + ◎?</x:v>
      </x:c>
      <x:c r="N667" t="str">
        <x:v>Kr(Closed Gate light) with Kr(Closed Gate light): ASK in model.</x:v>
      </x:c>
    </x:row>
  </x:sheetData>
  <x:conditionalFormatting sqref="K2:K66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6d2196dd89a4d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5.66999816894531" hidden="0" customWidth="1"/>
    <x:col min="3" max="3" width="35.66999816894531" hidden="0" customWidth="1"/>
    <x:col min="4" max="4" width="24" hidden="0" customWidth="1"/>
    <x:col min="5" max="5" width="48" hidden="0" customWidth="1"/>
    <x:col min="6" max="6" width="35.66999816894531" hidden="0" customWidth="1"/>
    <x:col min="7" max="7" width="35.66999816894531" hidden="0" customWidth="1"/>
    <x:col min="8" max="8" width="35.66999816894531" hidden="0" customWidth="1"/>
  </x:cols>
  <x:sheetData>
    <x:row r="1">
      <x:c r="A1" s="46" t="str">
        <x:v>Live Rune/Sri Transition Calculator</x:v>
      </x:c>
      <x:c r="B1" s="46" t="str">
        <x:v>Live Rune/Sri Transition Calculator</x:v>
      </x:c>
      <x:c r="C1" s="46" t="str">
        <x:v>Live Rune/Sri Transition Calculator</x:v>
      </x:c>
      <x:c r="D1" s="46" t="str">
        <x:v>Live Rune/Sri Transition Calculator</x:v>
      </x:c>
      <x:c r="E1" s="46" t="str">
        <x:v>Live Rune/Sri Transition Calculator</x:v>
      </x:c>
      <x:c r="F1" s="46" t="str">
        <x:v>Live Rune/Sri Transition Calculator</x:v>
      </x:c>
      <x:c r="G1" s="46" t="str">
        <x:v>Live Rune/Sri Transition Calculator</x:v>
      </x:c>
      <x:c r="H1" s="46" t="str">
        <x:v>Live Rune/Sri Transition Calculator</x:v>
      </x:c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8" t="str">
        <x:v>Element Pair Inputs</x:v>
      </x:c>
      <x:c r="B3" s="48"/>
      <x:c r="C3" s="47"/>
      <x:c r="D3" s="48" t="str">
        <x:v>Element Pair Output</x:v>
      </x:c>
      <x:c r="E3" s="48"/>
      <x:c r="F3" s="48"/>
      <x:c r="G3" s="48"/>
      <x:c r="H3" s="48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9" t="str">
        <x:v>Element A symbol</x:v>
      </x:c>
      <x:c r="B4" s="47" t="str">
        <x:v>H</x:v>
      </x:c>
      <x:c r="C4" s="47"/>
      <x:c r="D4" s="49" t="str">
        <x:v>Role A</x:v>
      </x:c>
      <x:c r="E4" s="54" t="str">
        <x:f>IFERROR(VLOOKUP($B$4,Element_Rune_Lens!$A$2:$T$37,9,FALSE),"unknown")</x:f>
        <x:v>Archer opener</x:v>
      </x:c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9" t="str">
        <x:v>Element B symbol</x:v>
      </x:c>
      <x:c r="B5" s="47" t="str">
        <x:v>O</x:v>
      </x:c>
      <x:c r="C5" s="47"/>
      <x:c r="D5" s="49" t="str">
        <x:v>Role B</x:v>
      </x:c>
      <x:c r="E5" s="54" t="str">
        <x:f>IFERROR(VLOOKUP($B$5,Element_Rune_Lens!$A$2:$T$37,9,FALSE),"unknown")</x:f>
        <x:v>Receiver activator</x:v>
      </x:c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9" t="str">
        <x:v>External energy △ (0-10)</x:v>
      </x:c>
      <x:c r="B6" s="47" t="n">
        <x:v>6</x:v>
      </x:c>
      <x:c r="C6" s="47"/>
      <x:c r="D6" s="49" t="str">
        <x:v>Rune A</x:v>
      </x:c>
      <x:c r="E6" s="54" t="str">
        <x:f>IFERROR(VLOOKUP($B$4,Element_Rune_Lens!$A$2:$T$37,10,FALSE),"?")</x:f>
        <x:v>ᛏ△</x:v>
      </x:c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9" t="str">
        <x:v>Field coherence (0-1)</x:v>
      </x:c>
      <x:c r="B7" s="47" t="n">
        <x:v>0.75</x:v>
      </x:c>
      <x:c r="C7" s="47"/>
      <x:c r="D7" s="49" t="str">
        <x:v>Rune B</x:v>
      </x:c>
      <x:c r="E7" s="54" t="str">
        <x:f>IFERROR(VLOOKUP($B$5,Element_Rune_Lens!$A$2:$T$37,10,FALSE),"?")</x:f>
        <x:v>▽△</x:v>
      </x:c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9" t="str">
        <x:v>Interpretation</x:v>
      </x:c>
      <x:c r="B8" s="47" t="str">
        <x:v>MODEL only</x:v>
      </x:c>
      <x:c r="C8" s="47"/>
      <x:c r="D8" s="49" t="str">
        <x:v>Donor/Receiver Score</x:v>
      </x:c>
      <x:c r="E8" s="54" t="n">
        <x:f>ROUND((VLOOKUP($B$4,Element_Rune_Lens!$A$2:$T$37,12,FALSE)*VLOOKUP($B$5,Element_Rune_Lens!$A$2:$T$37,13,FALSE)+VLOOKUP($B$5,Element_Rune_Lens!$A$2:$T$37,12,FALSE)*VLOOKUP($B$4,Element_Rune_Lens!$A$2:$T$37,13,FALSE))*50,1)</x:f>
        <x:v>49.1</x:v>
      </x:c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7"/>
      <x:c r="B9" s="47"/>
      <x:c r="C9" s="47"/>
      <x:c r="D9" s="49" t="str">
        <x:v>Structure Match</x:v>
      </x:c>
      <x:c r="E9" s="54" t="n">
        <x:f>ROUND((1-ABS(VLOOKUP($B$4,Element_Rune_Lens!$A$2:$T$37,14,FALSE)-VLOOKUP($B$5,Element_Rune_Lens!$A$2:$T$37,14,FALSE)))*20,1)</x:f>
        <x:v>13</x:v>
      </x:c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9" t="str">
        <x:v>Shadow Penalty</x:v>
      </x:c>
      <x:c r="E10" s="54" t="n">
        <x:f>ROUND((VLOOKUP($B$4,Element_Rune_Lens!$A$2:$T$37,18,FALSE)+VLOOKUP($B$5,Element_Rune_Lens!$A$2:$T$37,18,FALSE))*10,1)</x:f>
        <x:v>6</x:v>
      </x:c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9" t="str">
        <x:v>Gate Score</x:v>
      </x:c>
      <x:c r="E11" s="55" t="n">
        <x:f>ROUND(MAX(0,MIN(100,E8+E9+($B$6*3)+($B$7*20)-E10)),1)</x:f>
        <x:v>89.1</x:v>
      </x:c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9" t="str">
        <x:v>Verdict</x:v>
      </x:c>
      <x:c r="E12" s="55" t="str">
        <x:f>IF(E11&gt;=75,"OPEN",IF(E11&gt;=58,"ASK",IF(E11&gt;=42,"REPAIR","HOLD")))</x:f>
        <x:v>OPEN</x:v>
      </x:c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9" t="str">
        <x:v>Rune Packet</x:v>
      </x:c>
      <x:c r="E13" s="54" t="str">
        <x:f>E6&amp;" + "&amp;E7&amp;" + △ + "&amp;IF(E12="OPEN","◎✓",IF(E12="ASK","◎?",IF(E12="REPAIR","↺","HOLD")))</x:f>
        <x:v>ᛏ△ + ▽△ + △ + ◎✓</x:v>
      </x:c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8" t="str">
        <x:v>Quantum Spot Inputs</x:v>
      </x:c>
      <x:c r="B16" s="48"/>
      <x:c r="C16" s="47"/>
      <x:c r="D16" s="48" t="str">
        <x:v>Quantum Spot Output</x:v>
      </x:c>
      <x:c r="E16" s="48"/>
      <x:c r="F16" s="48"/>
      <x:c r="G16" s="48"/>
      <x:c r="H16" s="48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9" t="str">
        <x:v>n shell</x:v>
      </x:c>
      <x:c r="B17" s="47" t="n">
        <x:v>2</x:v>
      </x:c>
      <x:c r="C17" s="47"/>
      <x:c r="D17" s="49" t="str">
        <x:v>Orbital</x:v>
      </x:c>
      <x:c r="E17" s="17" t="str">
        <x:f>CHOOSE($B$18+1,"s","p","d","f")</x:f>
        <x:v>p</x:v>
      </x:c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9" t="str">
        <x:v>l orbital number (0=s,1=p,2=d,3=f)</x:v>
      </x:c>
      <x:c r="B18" s="47" t="n">
        <x:v>1</x:v>
      </x:c>
      <x:c r="C18" s="47"/>
      <x:c r="D18" s="49" t="str">
        <x:v>Degeneracy</x:v>
      </x:c>
      <x:c r="E18" s="17" t="n">
        <x:f>2*(2*$B$18+1)</x:f>
        <x:v>6</x:v>
      </x:c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9" t="str">
        <x:v>m_l orientation</x:v>
      </x:c>
      <x:c r="B19" s="47" t="n">
        <x:v>0</x:v>
      </x:c>
      <x:c r="C19" s="47"/>
      <x:c r="D19" s="49" t="str">
        <x:v>Direction X</x:v>
      </x:c>
      <x:c r="E19" s="17" t="n">
        <x:f>IF($B$18=0,0,ROUND($B$19/$B$18,2))</x:f>
        <x:v>0</x:v>
      </x:c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9" t="str">
        <x:v>spin (+/-0.5)</x:v>
      </x:c>
      <x:c r="B20" s="47" t="n">
        <x:v>0.5</x:v>
      </x:c>
      <x:c r="C20" s="47"/>
      <x:c r="D20" s="49" t="str">
        <x:v>Spin Z</x:v>
      </x:c>
      <x:c r="E20" s="17" t="n">
        <x:f>ROUND($B$20*2,0)</x:f>
        <x:v>1</x:v>
      </x:c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9" t="str">
        <x:v>field coherence (0-1)</x:v>
      </x:c>
      <x:c r="B21" s="47" t="n">
        <x:v>0.8</x:v>
      </x:c>
      <x:c r="C21" s="47"/>
      <x:c r="D21" s="49" t="str">
        <x:v>Gate Need</x:v>
      </x:c>
      <x:c r="E21" s="17" t="n">
        <x:f>ROUND(($B$18+ABS($B$19)*0.5+IF($B$20&lt;0,0.2,0))*20,1)</x:f>
        <x:v>20</x:v>
      </x:c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9" t="str">
        <x:v>energy pressure △ (0-10)</x:v>
      </x:c>
      <x:c r="B22" s="47" t="n">
        <x:v>5</x:v>
      </x:c>
      <x:c r="C22" s="47"/>
      <x:c r="D22" s="49" t="str">
        <x:v>Coherence Score</x:v>
      </x:c>
      <x:c r="E22" s="17" t="n">
        <x:f>ROUND(100*$B$21*(1/(1+$B$18*0.35+ABS($B$19)*0.15)),1)</x:f>
        <x:v>59.3</x:v>
      </x:c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9" t="str">
        <x:v>Rune Role</x:v>
      </x:c>
      <x:c r="E23" s="56" t="str">
        <x:f>IF($B$18=0,"✦◎ Bindu seed",IF($B$18=1,"ᛏ△ Archer direction",IF($B$18=2,"□◉ Engineer lattice","∅◎ Shadow complexity")))</x:f>
        <x:v>ᛏ△ Archer direction</x:v>
      </x:c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9" t="str">
        <x:v>Verdict</x:v>
      </x:c>
      <x:c r="E24" s="56" t="str">
        <x:f>IF(E22-E21&gt;=55,"OPEN",IF(E22-E21&gt;=30,"ASK",IF(E22-E21&gt;=10,"REPAIR","HOLD")))</x:f>
        <x:v>ASK</x:v>
      </x:c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H1"/>
    <x:mergeCell ref="A3:B3"/>
    <x:mergeCell ref="D3:H3"/>
    <x:mergeCell ref="A16:B16"/>
    <x:mergeCell ref="D16:H16"/>
  </x:mergeCells>
  <x:dataValidations count="3">
    <x:dataValidation type="list" sqref="B4:B5">
      <x:formula1>Element_Rune_Lens!$A$2:$A$37</x:formula1>
    </x:dataValidation>
    <x:dataValidation type="list" sqref="B18">
      <x:formula1>"0,1,2,3"</x:formula1>
    </x:dataValidation>
    <x:dataValidation type="list" sqref="B20">
      <x:formula1>"-0.5,0.5"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.31999969482422" hidden="0" customWidth="1"/>
    <x:col min="2" max="2" width="48" hidden="0" customWidth="1"/>
    <x:col min="3" max="3" width="48" hidden="0" customWidth="1"/>
    <x:col min="4" max="4" width="48" hidden="0" customWidth="1"/>
    <x:col min="5" max="5" width="27.31999969482422" hidden="0" customWidth="1"/>
    <x:col min="6" max="6" width="27.31999969482422" hidden="0" customWidth="1"/>
  </x:cols>
  <x:sheetData>
    <x:row r="1">
      <x:c r="A1" s="46" t="str">
        <x:v>Method Notes / Boundary</x:v>
      </x:c>
      <x:c r="B1" s="46" t="str">
        <x:v>Method Notes / Boundary</x:v>
      </x:c>
      <x:c r="C1" s="46" t="str">
        <x:v>Method Notes / Boundary</x:v>
      </x:c>
      <x:c r="D1" s="46" t="str">
        <x:v>Method Notes / Boundary</x:v>
      </x:c>
      <x:c r="E1" s="46" t="str">
        <x:v>Method Notes / Boundary</x:v>
      </x:c>
      <x:c r="F1" s="46" t="str">
        <x:v>Method Notes / Boundary</x:v>
      </x:c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8" t="str">
        <x:v>Layer</x:v>
      </x:c>
      <x:c r="B3" s="48" t="str">
        <x:v>Meaning</x:v>
      </x:c>
      <x:c r="C3" s="48" t="str">
        <x:v>Workbook implementation</x:v>
      </x:c>
      <x:c r="D3" s="48" t="str">
        <x:v>Boundary</x:v>
      </x:c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49" t="str">
        <x:v>Element vector</x:v>
      </x:c>
      <x:c r="B4" s="17" t="str">
        <x:v>8-dimensional transition profile</x:v>
      </x:c>
      <x:c r="C4" s="17" t="str">
        <x:v>Activation, Reception, Structure, Flow, Gate, Memory, Shadow, Coherence</x:v>
      </x:c>
      <x:c r="D4" s="17" t="str">
        <x:v>Educational model, hand-assigned scores based on broad chemistry intuition.</x:v>
      </x:c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49" t="str">
        <x:v>Sri projection</x:v>
      </x:c>
      <x:c r="B5" s="17" t="str">
        <x:v>How strongly an element aligns with a triangle role</x:v>
      </x:c>
      <x:c r="C5" s="17" t="str">
        <x:v>Dot product between element vector and triangle basis vector</x:v>
      </x:c>
      <x:c r="D5" s="17" t="str">
        <x:v>Not physical Sri geometry; a lens for thinking.</x:v>
      </x:c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49" t="str">
        <x:v>Quantum spot</x:v>
      </x:c>
      <x:c r="B6" s="17" t="str">
        <x:v>n/l/m/spin as vector-like state marker</x:v>
      </x:c>
      <x:c r="C6" s="17" t="str">
        <x:v>Shell, angular complexity, direction and spin polarity formulas</x:v>
      </x:c>
      <x:c r="D6" s="17" t="str">
        <x:v>Not solving Schrödinger equation; a symbolic state simulator.</x:v>
      </x:c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49" t="str">
        <x:v>GateScore</x:v>
      </x:c>
      <x:c r="B7" s="17" t="str">
        <x:v>Transition readiness proxy</x:v>
      </x:c>
      <x:c r="C7" s="17" t="str">
        <x:v>Donor/receiver + structure + coherence + energy - shadow</x:v>
      </x:c>
      <x:c r="D7" s="17" t="str">
        <x:v>Not a real reaction predictor.</x:v>
      </x:c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49" t="str">
        <x:v>Verdict</x:v>
      </x:c>
      <x:c r="B8" s="17" t="str">
        <x:v>OPEN / ASK / REPAIR / HOLD</x:v>
      </x:c>
      <x:c r="C8" s="17" t="str">
        <x:v>Thresholds over GateScore or quantum coherence minus GateNeed</x:v>
      </x:c>
      <x:c r="D8" s="17" t="str">
        <x:v>Use as pedagogical runtime.</x:v>
      </x:c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49" t="str">
        <x:v>Useful insight</x:v>
      </x:c>
      <x:c r="B9" s="17" t="str">
        <x:v>3D element becomes 4D role when read by transition behavior</x:v>
      </x:c>
      <x:c r="C9" s="17" t="str">
        <x:v>Periodic table + rune roles + Gate logic</x:v>
      </x:c>
      <x:c r="D9" s="17" t="str">
        <x:v>Good for teaching and AI explainability, not replacing science.</x:v>
      </x:c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F1"/>
  </x:mergeCells>
  <x:pageMargins left="0.7" right="0.7" top="0.75" bottom="0.75" header="0.3" footer="0.3"/>
</x:worksheet>
</file>